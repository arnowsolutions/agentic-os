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montefioreorg-my.sharepoint.com/personal/jdiazgonza_montefiore_org/Documents/Desktop/"/>
    </mc:Choice>
  </mc:AlternateContent>
  <xr:revisionPtr revIDLastSave="0" documentId="8_{A9230D73-A787-4B48-A9EC-6CDE5BAFBAEE}" xr6:coauthVersionLast="47" xr6:coauthVersionMax="47" xr10:uidLastSave="{00000000-0000-0000-0000-000000000000}"/>
  <bookViews>
    <workbookView xWindow="-28920" yWindow="5730" windowWidth="29040" windowHeight="17520" xr2:uid="{AB99529A-3107-4E78-A9DF-CD2619842CDA}"/>
  </bookViews>
  <sheets>
    <sheet name="Staff info" sheetId="1" r:id="rId1"/>
    <sheet name="Drop down list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</calcChain>
</file>

<file path=xl/sharedStrings.xml><?xml version="1.0" encoding="utf-8"?>
<sst xmlns="http://schemas.openxmlformats.org/spreadsheetml/2006/main" count="458" uniqueCount="246">
  <si>
    <t>Name</t>
  </si>
  <si>
    <t>EZID</t>
  </si>
  <si>
    <t>Username</t>
  </si>
  <si>
    <t>email address</t>
  </si>
  <si>
    <t>Contact No.</t>
  </si>
  <si>
    <t>Title</t>
  </si>
  <si>
    <t>Role</t>
  </si>
  <si>
    <t>Shift</t>
  </si>
  <si>
    <t>Hrs. per shift</t>
  </si>
  <si>
    <t>Work Days per wk.</t>
  </si>
  <si>
    <t>Primary Location</t>
  </si>
  <si>
    <t>Adams, Lakesha D</t>
  </si>
  <si>
    <t>lakadams</t>
  </si>
  <si>
    <t xml:space="preserve">lakadams@montefiore.org </t>
  </si>
  <si>
    <t>(646) 319-5248</t>
  </si>
  <si>
    <t>LPN</t>
  </si>
  <si>
    <t>8:00 AM - 4:30 PM</t>
  </si>
  <si>
    <t>Stone Clinic</t>
  </si>
  <si>
    <t>Aleman, Melissa A</t>
  </si>
  <si>
    <t>mealeman</t>
  </si>
  <si>
    <t xml:space="preserve">mealeman@montefiore.org </t>
  </si>
  <si>
    <t>Sec't II</t>
  </si>
  <si>
    <t>Extender</t>
  </si>
  <si>
    <t>Hutch - PH</t>
  </si>
  <si>
    <t>Asencio, Andrea A</t>
  </si>
  <si>
    <t>aasencio</t>
  </si>
  <si>
    <t xml:space="preserve">aasencio@montefiore.org </t>
  </si>
  <si>
    <t>Assc. Director</t>
  </si>
  <si>
    <t>8:30 AM - 5:00 PM</t>
  </si>
  <si>
    <t>Bagcal, Maria J</t>
  </si>
  <si>
    <t>mbagcal</t>
  </si>
  <si>
    <t xml:space="preserve">mbagcal@montefiore.org </t>
  </si>
  <si>
    <t>RN</t>
  </si>
  <si>
    <t>7:00 AM - 5:30 PM</t>
  </si>
  <si>
    <t>Hutch One  - 12th fl.</t>
  </si>
  <si>
    <t>Bailey, Vasquez T</t>
  </si>
  <si>
    <t>vabailey</t>
  </si>
  <si>
    <t xml:space="preserve">vabailey@montefiore.org </t>
  </si>
  <si>
    <t>8:00 AM - 4:00 PM</t>
  </si>
  <si>
    <t>Wakefield</t>
  </si>
  <si>
    <t>Balcarran, Sylvet</t>
  </si>
  <si>
    <t>SBALCARR</t>
  </si>
  <si>
    <t xml:space="preserve">sbalcarr@montefiore.org </t>
  </si>
  <si>
    <t>Bartee, Tiana</t>
  </si>
  <si>
    <t>tbartee</t>
  </si>
  <si>
    <t>tbartee@montefiore.org</t>
  </si>
  <si>
    <t>OR Coordinator</t>
  </si>
  <si>
    <t>8:30 AM - 4:30 PM</t>
  </si>
  <si>
    <t>Bottger, Kelly L</t>
  </si>
  <si>
    <t>kbottger</t>
  </si>
  <si>
    <t xml:space="preserve"> kbottger@montefiore.org </t>
  </si>
  <si>
    <t>Administrator</t>
  </si>
  <si>
    <t>Caceres, Alex D</t>
  </si>
  <si>
    <t>ALCACERE</t>
  </si>
  <si>
    <t xml:space="preserve">alcacere@montefiore.org </t>
  </si>
  <si>
    <t>Front Desk</t>
  </si>
  <si>
    <t>9:00 AM - 5:30 PM</t>
  </si>
  <si>
    <t>Camilo, Melissa</t>
  </si>
  <si>
    <t>MCAMILO</t>
  </si>
  <si>
    <t xml:space="preserve">mcamilo@montefiore.org </t>
  </si>
  <si>
    <t>Castro, Stacy F</t>
  </si>
  <si>
    <t>stcastro</t>
  </si>
  <si>
    <t xml:space="preserve"> stcastro@montefiore.org </t>
  </si>
  <si>
    <t>MAP</t>
  </si>
  <si>
    <t>Cerda, Katherin</t>
  </si>
  <si>
    <t>karamire</t>
  </si>
  <si>
    <t xml:space="preserve">karamire@montefiore.org </t>
  </si>
  <si>
    <t>Chowdhury, Nadia Y</t>
  </si>
  <si>
    <t>nadchowdhu</t>
  </si>
  <si>
    <t xml:space="preserve">nadchowdhu@montefiore.org </t>
  </si>
  <si>
    <t>Coleman, Rachelle</t>
  </si>
  <si>
    <t>RCOLEMAN</t>
  </si>
  <si>
    <t xml:space="preserve">rcoleman@montefiore.org </t>
  </si>
  <si>
    <t>Collazo, Juan C</t>
  </si>
  <si>
    <t>jcollazo</t>
  </si>
  <si>
    <t xml:space="preserve">jcollazo@montefiore.org </t>
  </si>
  <si>
    <t>Concepcion, Frederick J</t>
  </si>
  <si>
    <t>FCONCEPC</t>
  </si>
  <si>
    <t xml:space="preserve">fconcepc@montefiore.org </t>
  </si>
  <si>
    <t>Referral Coordinator</t>
  </si>
  <si>
    <t>Cortes, Esteban</t>
  </si>
  <si>
    <t>escorte</t>
  </si>
  <si>
    <t xml:space="preserve">escorte@montefiore.org </t>
  </si>
  <si>
    <t>Dejesus, Christian</t>
  </si>
  <si>
    <t>cdejesus</t>
  </si>
  <si>
    <t xml:space="preserve">cdejesus@montefiore.org </t>
  </si>
  <si>
    <t>De Jesus Mendez, Michelle V</t>
  </si>
  <si>
    <t>midejes</t>
  </si>
  <si>
    <t xml:space="preserve">midejes@montefiore.org </t>
  </si>
  <si>
    <t>NP</t>
  </si>
  <si>
    <t>Hutch Two</t>
  </si>
  <si>
    <t>Diaz Gonzalez, Jessica</t>
  </si>
  <si>
    <t>jdiazgonza</t>
  </si>
  <si>
    <t xml:space="preserve">jdiazgonza@montefiore.org </t>
  </si>
  <si>
    <t>Operations Supervisor</t>
  </si>
  <si>
    <t>Dixon, Michael E</t>
  </si>
  <si>
    <t>michdixon</t>
  </si>
  <si>
    <t>michdixon@montefiore.org</t>
  </si>
  <si>
    <t>Dominguez, Aciara</t>
  </si>
  <si>
    <t>acdoming</t>
  </si>
  <si>
    <t xml:space="preserve">acdoming@montefiore.org </t>
  </si>
  <si>
    <t>Dove, Cheryl L</t>
  </si>
  <si>
    <t>cdove</t>
  </si>
  <si>
    <t>cdove@montefiore.org</t>
  </si>
  <si>
    <t>Duchein, Yvette A</t>
  </si>
  <si>
    <t>YDUCHEIN</t>
  </si>
  <si>
    <t>yduchein@montefiore.org</t>
  </si>
  <si>
    <t>8:00 AM - 6:30 PM</t>
  </si>
  <si>
    <t>Elliott-Harris, Regina M</t>
  </si>
  <si>
    <t>rharris</t>
  </si>
  <si>
    <t>rharris@montefiore.org</t>
  </si>
  <si>
    <t>Esannason, Tashana K</t>
  </si>
  <si>
    <t>tafergus</t>
  </si>
  <si>
    <t>tafergus@montefiore.org</t>
  </si>
  <si>
    <t>Franco, Jasmin</t>
  </si>
  <si>
    <t>jafranco</t>
  </si>
  <si>
    <t xml:space="preserve">jafranco@montefiore.org  </t>
  </si>
  <si>
    <t>Frasier, Shareef</t>
  </si>
  <si>
    <t>sfrasier</t>
  </si>
  <si>
    <t>sfrasier@montefiore.org</t>
  </si>
  <si>
    <t>Residency Coordinator</t>
  </si>
  <si>
    <t>Guzman, Michelle</t>
  </si>
  <si>
    <t>miguzman</t>
  </si>
  <si>
    <t>miguzman@montefiore.org</t>
  </si>
  <si>
    <t>Heredia, Rosa</t>
  </si>
  <si>
    <t>RHEREDIA</t>
  </si>
  <si>
    <t>rheredia@montefiore.org</t>
  </si>
  <si>
    <t>Clinica Milenio</t>
  </si>
  <si>
    <t>Joseph, Morgan P</t>
  </si>
  <si>
    <t>morjoseph</t>
  </si>
  <si>
    <t>morjoseph@montefiore.org</t>
  </si>
  <si>
    <t>Research Intern</t>
  </si>
  <si>
    <t>Kanakkassery, Heidi M</t>
  </si>
  <si>
    <t>hkanakka</t>
  </si>
  <si>
    <t>hkanakka@montefiore.org</t>
  </si>
  <si>
    <t>7:00 AM - 8:30 PM</t>
  </si>
  <si>
    <t>Kanneth, Sindhu</t>
  </si>
  <si>
    <t>sipappac</t>
  </si>
  <si>
    <t>sipappac@montefiore.org</t>
  </si>
  <si>
    <t>Karanikolas, Theodoros</t>
  </si>
  <si>
    <t>tkaranikol</t>
  </si>
  <si>
    <t>tkaranikol@montefiore.org</t>
  </si>
  <si>
    <t>Kareth, Pisey</t>
  </si>
  <si>
    <t>pkareth</t>
  </si>
  <si>
    <t>pkareth@montefiore.org</t>
  </si>
  <si>
    <t>PCC</t>
  </si>
  <si>
    <t>Keatley, Paula M</t>
  </si>
  <si>
    <t>PAKEATLE</t>
  </si>
  <si>
    <t>pakeatle@montefiore.org</t>
  </si>
  <si>
    <t>Lopez, Amy A</t>
  </si>
  <si>
    <t>alopez3</t>
  </si>
  <si>
    <t>alopez3@montefiore.org</t>
  </si>
  <si>
    <t>Mary, Hilda</t>
  </si>
  <si>
    <t>hmary</t>
  </si>
  <si>
    <t>hmary@montefiore.org</t>
  </si>
  <si>
    <t>7:30 AM - 6:00 PM</t>
  </si>
  <si>
    <t>Melo, Henry A</t>
  </si>
  <si>
    <t>hmelo</t>
  </si>
  <si>
    <t>hmelo@montefiore.org</t>
  </si>
  <si>
    <t>Nardi, Tiyan A</t>
  </si>
  <si>
    <t>tnardi</t>
  </si>
  <si>
    <t>tnardi@montefiore.org</t>
  </si>
  <si>
    <t>Odume, Josephine N</t>
  </si>
  <si>
    <t>joodume</t>
  </si>
  <si>
    <t>joodume@montefiore.org</t>
  </si>
  <si>
    <t>O Hara, Marianne C</t>
  </si>
  <si>
    <t>mohara</t>
  </si>
  <si>
    <t>mohara@montefiore.org</t>
  </si>
  <si>
    <t>Pearce, Christopher A</t>
  </si>
  <si>
    <t>chpearce</t>
  </si>
  <si>
    <t>chpearce@montefiore.org</t>
  </si>
  <si>
    <t>Data Analyst</t>
  </si>
  <si>
    <t>Perez, Minorca</t>
  </si>
  <si>
    <t>minperez</t>
  </si>
  <si>
    <t>minperez@montefiore.org</t>
  </si>
  <si>
    <t>Plasencia Hernandez, Jose</t>
  </si>
  <si>
    <t>jplasencia</t>
  </si>
  <si>
    <t>jplasencia@montefiore.org</t>
  </si>
  <si>
    <t>Ramlall, Gabriella A</t>
  </si>
  <si>
    <t>gramlall</t>
  </si>
  <si>
    <t>gramlall@montefiore.org</t>
  </si>
  <si>
    <t>Administrative Supervisor</t>
  </si>
  <si>
    <t>Ramos, Jo Ann</t>
  </si>
  <si>
    <t>jramos</t>
  </si>
  <si>
    <t>jramos@montefiore.org</t>
  </si>
  <si>
    <t>Office Coordinator</t>
  </si>
  <si>
    <t>Rodriguez, John T</t>
  </si>
  <si>
    <t>johrodrigu</t>
  </si>
  <si>
    <t>johrodrigu@montefiore.org</t>
  </si>
  <si>
    <t xml:space="preserve">Sec't I </t>
  </si>
  <si>
    <t>Rodriguez-Gomez, Samantha</t>
  </si>
  <si>
    <t>sarodrigue</t>
  </si>
  <si>
    <t>sarodrigue@montefiore.org</t>
  </si>
  <si>
    <t>Rolea, Eunice Glee O</t>
  </si>
  <si>
    <t>equiachon</t>
  </si>
  <si>
    <t>equiachon@montefiore.org</t>
  </si>
  <si>
    <t>Santos, Crystal</t>
  </si>
  <si>
    <t>crysantos</t>
  </si>
  <si>
    <t>crysantos@montefiore.org</t>
  </si>
  <si>
    <t>Administrative Manager</t>
  </si>
  <si>
    <t>Shperdheja, Armir</t>
  </si>
  <si>
    <t>ashperdhej</t>
  </si>
  <si>
    <t>ashperdhej@montefiore.org</t>
  </si>
  <si>
    <t>PA</t>
  </si>
  <si>
    <t>6:00 AM - 6:30 PM</t>
  </si>
  <si>
    <t>Moses / Wakefield</t>
  </si>
  <si>
    <t>Shperdheja, Olsjon</t>
  </si>
  <si>
    <t>solsjon</t>
  </si>
  <si>
    <t>solsjon@montefiore.org</t>
  </si>
  <si>
    <t>Weiler</t>
  </si>
  <si>
    <t>Silva, Jasmine L</t>
  </si>
  <si>
    <t>jasilva</t>
  </si>
  <si>
    <t>jasilva@montefiore.org</t>
  </si>
  <si>
    <t>Simmons, Jane't S</t>
  </si>
  <si>
    <t>jansimmons</t>
  </si>
  <si>
    <t>jansimmons@montefiore.org</t>
  </si>
  <si>
    <t>Singleton, Michelle R</t>
  </si>
  <si>
    <t>misingle</t>
  </si>
  <si>
    <t>misingle@montefiore.org</t>
  </si>
  <si>
    <t>Social Worker</t>
  </si>
  <si>
    <t>Solano, Nancy J</t>
  </si>
  <si>
    <t>nsolano</t>
  </si>
  <si>
    <t>nsolano@montefiore.org</t>
  </si>
  <si>
    <t>7:45 AM - 4:15 PM</t>
  </si>
  <si>
    <t>Soto, Mariah A</t>
  </si>
  <si>
    <t>marisoto</t>
  </si>
  <si>
    <t>marisoto@montefiore.org</t>
  </si>
  <si>
    <t>Thompson, Xavier</t>
  </si>
  <si>
    <t>xthompso</t>
  </si>
  <si>
    <t>xthompso@montefiore.org</t>
  </si>
  <si>
    <t>Vargas, Christine</t>
  </si>
  <si>
    <t>CHSANTIA</t>
  </si>
  <si>
    <t>chsantia@montefiore.org</t>
  </si>
  <si>
    <t>Varughese-Colon, Ansu S</t>
  </si>
  <si>
    <t>avarughe</t>
  </si>
  <si>
    <t>avarughe@montefiore.org</t>
  </si>
  <si>
    <t>Villa, Henry</t>
  </si>
  <si>
    <t>hvilla</t>
  </si>
  <si>
    <t>hvilla@montefiore.org</t>
  </si>
  <si>
    <t>Wiafe, Samuel A</t>
  </si>
  <si>
    <t>swiafe</t>
  </si>
  <si>
    <t>swiafe@montefiore.org</t>
  </si>
  <si>
    <t>Wint, Waynika A</t>
  </si>
  <si>
    <t>wwint</t>
  </si>
  <si>
    <t>wwint@montefiore.org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</si>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</sst>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\(000\)\ 000\-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7" tint="0.79998168889431442"/>
      </right>
      <top/>
      <bottom/>
      <diagonal/>
    </border>
    <border>
      <left style="thin">
        <color theme="7" tint="0.79998168889431442"/>
      </left>
      <right style="thin">
        <color theme="7" tint="0.79998168889431442"/>
      </right>
      <top/>
      <bottom/>
      <diagonal/>
    </border>
    <border>
      <left style="thin">
        <color theme="7" tint="0.79998168889431442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2" fillId="0" borderId="2" xfId="1" applyBorder="1"/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theme="7" tint="0.79998168889431442"/>
        </left>
        <right/>
        <top/>
        <bottom/>
        <vertical style="thin">
          <color theme="7" tint="0.79998168889431442"/>
        </vertical>
        <horizontal/>
      </border>
    </dxf>
    <dxf>
      <alignment horizontal="center" textRotation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alignment horizontal="center" textRotation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alignment horizontal="center" textRotation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numFmt numFmtId="165" formatCode="\(000\)\ 000\-0000"/>
      <alignment horizontal="center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numFmt numFmtId="164" formatCode="00000000"/>
      <alignment horizontal="center" vertical="bottom" textRotation="0" wrapText="0" indent="0" justifyLastLine="0" shrinkToFit="0" readingOrder="0"/>
      <border diagonalUp="0" diagonalDown="0">
        <left style="thin">
          <color theme="7" tint="0.79998168889431442"/>
        </left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border diagonalUp="0" diagonalDown="0">
        <left/>
        <right style="thin">
          <color theme="7" tint="0.79998168889431442"/>
        </right>
        <top/>
        <bottom/>
        <vertical style="thin">
          <color theme="7" tint="0.79998168889431442"/>
        </vertical>
        <horizontal/>
      </border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4F626-DF76-4B33-A1F1-DC0923175CAC}" name="Table1" displayName="Table1" ref="A1:K65" totalsRowShown="0" headerRowDxfId="11">
  <autoFilter ref="A1:K65" xr:uid="{9F24F626-DF76-4B33-A1F1-DC0923175CAC}"/>
  <tableColumns count="11">
    <tableColumn id="1" xr3:uid="{CCBC389D-695A-4F74-A5CB-E955B57F8C18}" name="Name" dataDxfId="10"/>
    <tableColumn id="2" xr3:uid="{0630BE64-B657-4B51-9E07-7AE7228183BF}" name="EZID" dataDxfId="9"/>
    <tableColumn id="3" xr3:uid="{5BBC13DB-F346-4F6F-BD81-74B4A034D53D}" name="Username" dataDxfId="8"/>
    <tableColumn id="4" xr3:uid="{78F8ED2B-CEF5-43DF-8FCA-0846FA838BF9}" name="email address" dataDxfId="7" dataCellStyle="Hyperlink"/>
    <tableColumn id="5" xr3:uid="{A12F881F-0910-4EC6-B2ED-0561442B767B}" name="Contact No." dataDxfId="6"/>
    <tableColumn id="6" xr3:uid="{7C406EE4-077F-40D4-9FF6-E1A33DCAF7D9}" name="Title" dataDxfId="5"/>
    <tableColumn id="11" xr3:uid="{893E1ACA-E7D6-4340-B09B-BBD12F716D4C}" name="Role" dataDxfId="4"/>
    <tableColumn id="7" xr3:uid="{30944D9C-792F-47A0-B7CE-3AED3C1A838C}" name="Shift" dataDxfId="3"/>
    <tableColumn id="10" xr3:uid="{368E0AB1-967D-482B-896A-F44BD7A7DB55}" name="Hrs. per shift" dataDxfId="2"/>
    <tableColumn id="9" xr3:uid="{BEFCC828-F498-4C60-8CA6-5BC5415ECB70}" name="Work Days per wk." dataDxfId="1"/>
    <tableColumn id="8" xr3:uid="{05F598EA-E47B-43AE-9A4C-E210A9F489AE}" name="Primary Locat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collazo@montefiore.org%20" TargetMode="External"/><Relationship Id="rId18" Type="http://schemas.openxmlformats.org/officeDocument/2006/relationships/hyperlink" Target="mailto:jdiazgonza@montefiore.org%20" TargetMode="External"/><Relationship Id="rId26" Type="http://schemas.openxmlformats.org/officeDocument/2006/relationships/hyperlink" Target="mailto:sfrasier@montefiore.org" TargetMode="External"/><Relationship Id="rId39" Type="http://schemas.openxmlformats.org/officeDocument/2006/relationships/hyperlink" Target="mailto:joodume@montefiore.org" TargetMode="External"/><Relationship Id="rId21" Type="http://schemas.openxmlformats.org/officeDocument/2006/relationships/hyperlink" Target="mailto:cdove@montefiore.org" TargetMode="External"/><Relationship Id="rId34" Type="http://schemas.openxmlformats.org/officeDocument/2006/relationships/hyperlink" Target="mailto:pakeatle@montefiore.org" TargetMode="External"/><Relationship Id="rId42" Type="http://schemas.openxmlformats.org/officeDocument/2006/relationships/hyperlink" Target="mailto:minperez@montefiore.org" TargetMode="External"/><Relationship Id="rId47" Type="http://schemas.openxmlformats.org/officeDocument/2006/relationships/hyperlink" Target="mailto:sarodrigue@montefiore.org" TargetMode="External"/><Relationship Id="rId50" Type="http://schemas.openxmlformats.org/officeDocument/2006/relationships/hyperlink" Target="mailto:ashperdhej@montefiore.org" TargetMode="External"/><Relationship Id="rId55" Type="http://schemas.openxmlformats.org/officeDocument/2006/relationships/hyperlink" Target="mailto:nsolano@montefiore.org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tbartee@montefiore.org" TargetMode="External"/><Relationship Id="rId2" Type="http://schemas.openxmlformats.org/officeDocument/2006/relationships/hyperlink" Target="mailto:mealeman@montefiore.org%20" TargetMode="External"/><Relationship Id="rId16" Type="http://schemas.openxmlformats.org/officeDocument/2006/relationships/hyperlink" Target="mailto:cdejesus@montefiore.org%20" TargetMode="External"/><Relationship Id="rId29" Type="http://schemas.openxmlformats.org/officeDocument/2006/relationships/hyperlink" Target="mailto:morjoseph@montefiore.org" TargetMode="External"/><Relationship Id="rId11" Type="http://schemas.openxmlformats.org/officeDocument/2006/relationships/hyperlink" Target="mailto:nadchowdhu@montefiore.org%20" TargetMode="External"/><Relationship Id="rId24" Type="http://schemas.openxmlformats.org/officeDocument/2006/relationships/hyperlink" Target="mailto:tafergus@montefiore.org" TargetMode="External"/><Relationship Id="rId32" Type="http://schemas.openxmlformats.org/officeDocument/2006/relationships/hyperlink" Target="mailto:tkaranikol@montefiore.org" TargetMode="External"/><Relationship Id="rId37" Type="http://schemas.openxmlformats.org/officeDocument/2006/relationships/hyperlink" Target="mailto:hmelo@montefiore.org" TargetMode="External"/><Relationship Id="rId40" Type="http://schemas.openxmlformats.org/officeDocument/2006/relationships/hyperlink" Target="mailto:mohara@montefiore.org" TargetMode="External"/><Relationship Id="rId45" Type="http://schemas.openxmlformats.org/officeDocument/2006/relationships/hyperlink" Target="mailto:jramos@montefiore.org" TargetMode="External"/><Relationship Id="rId53" Type="http://schemas.openxmlformats.org/officeDocument/2006/relationships/hyperlink" Target="mailto:jansimmons@montefiore.org" TargetMode="External"/><Relationship Id="rId58" Type="http://schemas.openxmlformats.org/officeDocument/2006/relationships/hyperlink" Target="mailto:chsantia@montefiore.org" TargetMode="External"/><Relationship Id="rId5" Type="http://schemas.openxmlformats.org/officeDocument/2006/relationships/hyperlink" Target="mailto:vabailey@montefiore.org%20" TargetMode="External"/><Relationship Id="rId61" Type="http://schemas.openxmlformats.org/officeDocument/2006/relationships/hyperlink" Target="mailto:swiafe@montefiore.org" TargetMode="External"/><Relationship Id="rId19" Type="http://schemas.openxmlformats.org/officeDocument/2006/relationships/hyperlink" Target="mailto:michdixon@montefiore.org" TargetMode="External"/><Relationship Id="rId14" Type="http://schemas.openxmlformats.org/officeDocument/2006/relationships/hyperlink" Target="mailto:fconcepc@montefiore.org%20" TargetMode="External"/><Relationship Id="rId22" Type="http://schemas.openxmlformats.org/officeDocument/2006/relationships/hyperlink" Target="mailto:yduchein@montefiore.org" TargetMode="External"/><Relationship Id="rId27" Type="http://schemas.openxmlformats.org/officeDocument/2006/relationships/hyperlink" Target="mailto:miguzman@montefiore.org" TargetMode="External"/><Relationship Id="rId30" Type="http://schemas.openxmlformats.org/officeDocument/2006/relationships/hyperlink" Target="mailto:hkanakka@montefiore.org" TargetMode="External"/><Relationship Id="rId35" Type="http://schemas.openxmlformats.org/officeDocument/2006/relationships/hyperlink" Target="mailto:alopez3@montefiore.org" TargetMode="External"/><Relationship Id="rId43" Type="http://schemas.openxmlformats.org/officeDocument/2006/relationships/hyperlink" Target="mailto:jplasencia@montefiore.org" TargetMode="External"/><Relationship Id="rId48" Type="http://schemas.openxmlformats.org/officeDocument/2006/relationships/hyperlink" Target="mailto:equiachon@montefiore.org" TargetMode="External"/><Relationship Id="rId56" Type="http://schemas.openxmlformats.org/officeDocument/2006/relationships/hyperlink" Target="mailto:marisoto@montefiore.org" TargetMode="External"/><Relationship Id="rId8" Type="http://schemas.openxmlformats.org/officeDocument/2006/relationships/hyperlink" Target="mailto:alcacere@montefiore.org%20" TargetMode="External"/><Relationship Id="rId51" Type="http://schemas.openxmlformats.org/officeDocument/2006/relationships/hyperlink" Target="mailto:solsjon@montefiore.org" TargetMode="External"/><Relationship Id="rId3" Type="http://schemas.openxmlformats.org/officeDocument/2006/relationships/hyperlink" Target="mailto:aasencio@montefiore.org%20" TargetMode="External"/><Relationship Id="rId12" Type="http://schemas.openxmlformats.org/officeDocument/2006/relationships/hyperlink" Target="mailto:rcoleman@montefiore.org%20" TargetMode="External"/><Relationship Id="rId17" Type="http://schemas.openxmlformats.org/officeDocument/2006/relationships/hyperlink" Target="mailto:midejes@montefiore.org%20" TargetMode="External"/><Relationship Id="rId25" Type="http://schemas.openxmlformats.org/officeDocument/2006/relationships/hyperlink" Target="mailto:jafranco@montefiore.org%20%20" TargetMode="External"/><Relationship Id="rId33" Type="http://schemas.openxmlformats.org/officeDocument/2006/relationships/hyperlink" Target="mailto:pkareth@montefiore.org" TargetMode="External"/><Relationship Id="rId38" Type="http://schemas.openxmlformats.org/officeDocument/2006/relationships/hyperlink" Target="mailto:tnardi@montefiore.org" TargetMode="External"/><Relationship Id="rId46" Type="http://schemas.openxmlformats.org/officeDocument/2006/relationships/hyperlink" Target="mailto:johrodrigu@montefiore.org" TargetMode="External"/><Relationship Id="rId59" Type="http://schemas.openxmlformats.org/officeDocument/2006/relationships/hyperlink" Target="mailto:avarughe@montefiore.org" TargetMode="External"/><Relationship Id="rId20" Type="http://schemas.openxmlformats.org/officeDocument/2006/relationships/hyperlink" Target="mailto:acdoming@montefiore.org%20" TargetMode="External"/><Relationship Id="rId41" Type="http://schemas.openxmlformats.org/officeDocument/2006/relationships/hyperlink" Target="mailto:chpearce@montefiore.org" TargetMode="External"/><Relationship Id="rId54" Type="http://schemas.openxmlformats.org/officeDocument/2006/relationships/hyperlink" Target="mailto:misingle@montefiore.org" TargetMode="External"/><Relationship Id="rId62" Type="http://schemas.openxmlformats.org/officeDocument/2006/relationships/hyperlink" Target="mailto:wwint@montefiore.org" TargetMode="External"/><Relationship Id="rId1" Type="http://schemas.openxmlformats.org/officeDocument/2006/relationships/hyperlink" Target="mailto:lakadams@montefiore.org%20" TargetMode="External"/><Relationship Id="rId6" Type="http://schemas.openxmlformats.org/officeDocument/2006/relationships/hyperlink" Target="mailto:sbalcarr@montefiore.org%20" TargetMode="External"/><Relationship Id="rId15" Type="http://schemas.openxmlformats.org/officeDocument/2006/relationships/hyperlink" Target="mailto:escorte@montefiore.org%20" TargetMode="External"/><Relationship Id="rId23" Type="http://schemas.openxmlformats.org/officeDocument/2006/relationships/hyperlink" Target="mailto:rharris@montefiore.org" TargetMode="External"/><Relationship Id="rId28" Type="http://schemas.openxmlformats.org/officeDocument/2006/relationships/hyperlink" Target="mailto:rheredia@montefiore.org" TargetMode="External"/><Relationship Id="rId36" Type="http://schemas.openxmlformats.org/officeDocument/2006/relationships/hyperlink" Target="mailto:hmary@montefiore.org" TargetMode="External"/><Relationship Id="rId49" Type="http://schemas.openxmlformats.org/officeDocument/2006/relationships/hyperlink" Target="mailto:crysantos@montefiore.org" TargetMode="External"/><Relationship Id="rId57" Type="http://schemas.openxmlformats.org/officeDocument/2006/relationships/hyperlink" Target="mailto:xthompso@montefiore.org" TargetMode="External"/><Relationship Id="rId10" Type="http://schemas.openxmlformats.org/officeDocument/2006/relationships/hyperlink" Target="mailto:karamire@montefiore.org%20" TargetMode="External"/><Relationship Id="rId31" Type="http://schemas.openxmlformats.org/officeDocument/2006/relationships/hyperlink" Target="mailto:sipappac@montefiore.org" TargetMode="External"/><Relationship Id="rId44" Type="http://schemas.openxmlformats.org/officeDocument/2006/relationships/hyperlink" Target="mailto:gramlall@montefiore.org" TargetMode="External"/><Relationship Id="rId52" Type="http://schemas.openxmlformats.org/officeDocument/2006/relationships/hyperlink" Target="mailto:jasilva@montefiore.org" TargetMode="External"/><Relationship Id="rId60" Type="http://schemas.openxmlformats.org/officeDocument/2006/relationships/hyperlink" Target="mailto:hvilla@montefiore.org" TargetMode="External"/><Relationship Id="rId4" Type="http://schemas.openxmlformats.org/officeDocument/2006/relationships/hyperlink" Target="mailto:mbagcal@montefiore.org%20" TargetMode="External"/><Relationship Id="rId9" Type="http://schemas.openxmlformats.org/officeDocument/2006/relationships/hyperlink" Target="mailto:mcamilo@montefiore.org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46D9-14DF-4665-A18F-14D8F7135B9F}">
  <dimension ref="A1:K65"/>
  <sheetViews>
    <sheetView tabSelected="1" workbookViewId="0">
      <pane ySplit="1" topLeftCell="A2" activePane="bottomLeft" state="frozen"/>
      <selection pane="bottomLeft" activeCell="P16" sqref="P16"/>
    </sheetView>
  </sheetViews>
  <sheetFormatPr defaultRowHeight="15"/>
  <cols>
    <col min="1" max="1" width="26.28515625" bestFit="1" customWidth="1"/>
    <col min="2" max="2" width="11.42578125" style="4" customWidth="1"/>
    <col min="3" max="3" width="17.28515625" bestFit="1" customWidth="1"/>
    <col min="4" max="4" width="28.28515625" bestFit="1" customWidth="1"/>
    <col min="5" max="5" width="15.5703125" style="5" customWidth="1"/>
    <col min="6" max="6" width="23.85546875" bestFit="1" customWidth="1"/>
    <col min="7" max="7" width="19.140625" bestFit="1" customWidth="1"/>
    <col min="8" max="8" width="21.140625" style="5" customWidth="1"/>
    <col min="9" max="9" width="10.140625" style="5" customWidth="1"/>
    <col min="10" max="10" width="11.85546875" style="5" customWidth="1"/>
    <col min="11" max="11" width="18.28515625" bestFit="1" customWidth="1"/>
  </cols>
  <sheetData>
    <row r="1" spans="1:11" s="2" customFormat="1" ht="3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6" t="s">
        <v>11</v>
      </c>
      <c r="B2" s="7">
        <v>34534</v>
      </c>
      <c r="C2" s="8" t="s">
        <v>12</v>
      </c>
      <c r="D2" s="9" t="s">
        <v>13</v>
      </c>
      <c r="E2" s="10" t="s">
        <v>14</v>
      </c>
      <c r="F2" s="8" t="s">
        <v>15</v>
      </c>
      <c r="G2" s="8"/>
      <c r="H2" s="11" t="s">
        <v>16</v>
      </c>
      <c r="I2" s="11">
        <v>7.5</v>
      </c>
      <c r="J2" s="11">
        <v>5</v>
      </c>
      <c r="K2" s="12" t="s">
        <v>17</v>
      </c>
    </row>
    <row r="3" spans="1:11">
      <c r="A3" s="6" t="s">
        <v>18</v>
      </c>
      <c r="B3" s="7">
        <v>505059</v>
      </c>
      <c r="C3" s="8" t="s">
        <v>19</v>
      </c>
      <c r="D3" s="9" t="s">
        <v>20</v>
      </c>
      <c r="E3" s="10">
        <v>7186785206</v>
      </c>
      <c r="F3" s="8" t="s">
        <v>21</v>
      </c>
      <c r="G3" s="8" t="s">
        <v>22</v>
      </c>
      <c r="H3" s="11" t="s">
        <v>16</v>
      </c>
      <c r="I3" s="11">
        <v>7.5</v>
      </c>
      <c r="J3" s="11">
        <v>5</v>
      </c>
      <c r="K3" s="12" t="s">
        <v>23</v>
      </c>
    </row>
    <row r="4" spans="1:11">
      <c r="A4" s="6" t="s">
        <v>24</v>
      </c>
      <c r="B4" s="7">
        <v>516940</v>
      </c>
      <c r="C4" s="8" t="s">
        <v>25</v>
      </c>
      <c r="D4" s="9" t="s">
        <v>26</v>
      </c>
      <c r="E4" s="10">
        <v>3479242924</v>
      </c>
      <c r="F4" s="8" t="s">
        <v>27</v>
      </c>
      <c r="G4" s="8"/>
      <c r="H4" s="11" t="s">
        <v>28</v>
      </c>
      <c r="I4" s="11">
        <v>7.5</v>
      </c>
      <c r="J4" s="11">
        <v>5</v>
      </c>
      <c r="K4" s="12" t="s">
        <v>23</v>
      </c>
    </row>
    <row r="5" spans="1:11">
      <c r="A5" s="6" t="s">
        <v>29</v>
      </c>
      <c r="B5" s="7">
        <v>31451</v>
      </c>
      <c r="C5" s="8" t="s">
        <v>30</v>
      </c>
      <c r="D5" s="9" t="s">
        <v>31</v>
      </c>
      <c r="E5" s="10">
        <v>6464069215</v>
      </c>
      <c r="F5" s="8" t="s">
        <v>32</v>
      </c>
      <c r="G5" s="8"/>
      <c r="H5" s="11" t="s">
        <v>33</v>
      </c>
      <c r="I5" s="11">
        <v>9.5</v>
      </c>
      <c r="J5" s="11">
        <v>4</v>
      </c>
      <c r="K5" s="12" t="s">
        <v>34</v>
      </c>
    </row>
    <row r="6" spans="1:11">
      <c r="A6" s="6" t="s">
        <v>35</v>
      </c>
      <c r="B6" s="7">
        <v>24494</v>
      </c>
      <c r="C6" s="8" t="s">
        <v>36</v>
      </c>
      <c r="D6" s="9" t="s">
        <v>37</v>
      </c>
      <c r="E6" s="10">
        <v>6469382493</v>
      </c>
      <c r="F6" s="8" t="s">
        <v>15</v>
      </c>
      <c r="G6" s="8"/>
      <c r="H6" s="11" t="s">
        <v>38</v>
      </c>
      <c r="I6" s="11">
        <v>7</v>
      </c>
      <c r="J6" s="11">
        <v>5</v>
      </c>
      <c r="K6" s="12" t="s">
        <v>39</v>
      </c>
    </row>
    <row r="7" spans="1:11">
      <c r="A7" s="6" t="s">
        <v>40</v>
      </c>
      <c r="B7" s="7">
        <v>46496</v>
      </c>
      <c r="C7" s="8" t="s">
        <v>41</v>
      </c>
      <c r="D7" s="9" t="s">
        <v>42</v>
      </c>
      <c r="E7" s="10">
        <v>7188388491</v>
      </c>
      <c r="F7" s="8" t="s">
        <v>32</v>
      </c>
      <c r="G7" s="8"/>
      <c r="H7" s="11" t="s">
        <v>38</v>
      </c>
      <c r="I7" s="11">
        <v>7</v>
      </c>
      <c r="J7" s="11">
        <v>5</v>
      </c>
      <c r="K7" s="12" t="s">
        <v>39</v>
      </c>
    </row>
    <row r="8" spans="1:11">
      <c r="A8" s="6" t="s">
        <v>43</v>
      </c>
      <c r="B8" s="7">
        <v>32345</v>
      </c>
      <c r="C8" s="8" t="s">
        <v>44</v>
      </c>
      <c r="D8" s="9" t="s">
        <v>45</v>
      </c>
      <c r="E8" s="10">
        <v>6469962779</v>
      </c>
      <c r="F8" s="8" t="s">
        <v>21</v>
      </c>
      <c r="G8" s="8" t="s">
        <v>46</v>
      </c>
      <c r="H8" s="11" t="s">
        <v>47</v>
      </c>
      <c r="I8" s="11">
        <v>7.5</v>
      </c>
      <c r="J8" s="11">
        <v>5</v>
      </c>
      <c r="K8" s="12" t="s">
        <v>23</v>
      </c>
    </row>
    <row r="9" spans="1:11">
      <c r="A9" s="6" t="s">
        <v>48</v>
      </c>
      <c r="B9" s="7">
        <v>36368</v>
      </c>
      <c r="C9" s="8" t="s">
        <v>49</v>
      </c>
      <c r="D9" s="9" t="s">
        <v>50</v>
      </c>
      <c r="E9" s="10">
        <v>6463002303</v>
      </c>
      <c r="F9" s="8" t="s">
        <v>51</v>
      </c>
      <c r="G9" s="8"/>
      <c r="H9" s="11" t="s">
        <v>28</v>
      </c>
      <c r="I9" s="11">
        <v>7.5</v>
      </c>
      <c r="J9" s="11">
        <v>5</v>
      </c>
      <c r="K9" s="12" t="s">
        <v>23</v>
      </c>
    </row>
    <row r="10" spans="1:11">
      <c r="A10" s="6" t="s">
        <v>52</v>
      </c>
      <c r="B10" s="7">
        <v>45338</v>
      </c>
      <c r="C10" s="8" t="s">
        <v>53</v>
      </c>
      <c r="D10" s="9" t="s">
        <v>54</v>
      </c>
      <c r="E10" s="10">
        <v>3475677506</v>
      </c>
      <c r="F10" s="8" t="s">
        <v>21</v>
      </c>
      <c r="G10" s="8" t="s">
        <v>55</v>
      </c>
      <c r="H10" s="11" t="s">
        <v>56</v>
      </c>
      <c r="I10" s="11">
        <v>7.5</v>
      </c>
      <c r="J10" s="11">
        <v>5</v>
      </c>
      <c r="K10" s="12" t="s">
        <v>39</v>
      </c>
    </row>
    <row r="11" spans="1:11">
      <c r="A11" s="6" t="s">
        <v>57</v>
      </c>
      <c r="B11" s="7">
        <v>45277</v>
      </c>
      <c r="C11" s="8" t="s">
        <v>58</v>
      </c>
      <c r="D11" s="9" t="s">
        <v>59</v>
      </c>
      <c r="E11" s="10">
        <v>3478834993</v>
      </c>
      <c r="F11" s="8" t="s">
        <v>21</v>
      </c>
      <c r="G11" s="8" t="s">
        <v>46</v>
      </c>
      <c r="H11" s="11" t="s">
        <v>16</v>
      </c>
      <c r="I11" s="11">
        <v>7.5</v>
      </c>
      <c r="J11" s="11">
        <v>5</v>
      </c>
      <c r="K11" s="12" t="s">
        <v>23</v>
      </c>
    </row>
    <row r="12" spans="1:11">
      <c r="A12" s="6" t="s">
        <v>60</v>
      </c>
      <c r="B12" s="7">
        <v>525622</v>
      </c>
      <c r="C12" s="8" t="s">
        <v>61</v>
      </c>
      <c r="D12" s="9" t="s">
        <v>62</v>
      </c>
      <c r="E12" s="10">
        <v>3475831063</v>
      </c>
      <c r="F12" s="8" t="s">
        <v>15</v>
      </c>
      <c r="G12" s="8"/>
      <c r="H12" s="11" t="s">
        <v>16</v>
      </c>
      <c r="I12" s="11">
        <v>7.5</v>
      </c>
      <c r="J12" s="11">
        <v>5</v>
      </c>
      <c r="K12" s="12" t="s">
        <v>63</v>
      </c>
    </row>
    <row r="13" spans="1:11">
      <c r="A13" s="6" t="s">
        <v>64</v>
      </c>
      <c r="B13" s="7">
        <v>500812</v>
      </c>
      <c r="C13" s="8" t="s">
        <v>65</v>
      </c>
      <c r="D13" s="9" t="s">
        <v>66</v>
      </c>
      <c r="E13" s="10">
        <v>6462090112</v>
      </c>
      <c r="F13" s="8" t="s">
        <v>32</v>
      </c>
      <c r="G13" s="8"/>
      <c r="H13" s="11" t="s">
        <v>33</v>
      </c>
      <c r="I13" s="11">
        <v>9.5</v>
      </c>
      <c r="J13" s="11">
        <v>4</v>
      </c>
      <c r="K13" s="12" t="s">
        <v>23</v>
      </c>
    </row>
    <row r="14" spans="1:11">
      <c r="A14" s="6" t="s">
        <v>67</v>
      </c>
      <c r="B14" s="7">
        <v>520813</v>
      </c>
      <c r="C14" s="8" t="s">
        <v>68</v>
      </c>
      <c r="D14" s="9" t="s">
        <v>69</v>
      </c>
      <c r="E14" s="10">
        <v>3474597539</v>
      </c>
      <c r="F14" s="8" t="s">
        <v>32</v>
      </c>
      <c r="G14" s="8"/>
      <c r="H14" s="11" t="s">
        <v>33</v>
      </c>
      <c r="I14" s="11">
        <v>9.5</v>
      </c>
      <c r="J14" s="11">
        <v>4</v>
      </c>
      <c r="K14" s="12" t="s">
        <v>34</v>
      </c>
    </row>
    <row r="15" spans="1:11">
      <c r="A15" s="6" t="s">
        <v>70</v>
      </c>
      <c r="B15" s="7">
        <v>46536</v>
      </c>
      <c r="C15" s="8" t="s">
        <v>71</v>
      </c>
      <c r="D15" s="9" t="s">
        <v>72</v>
      </c>
      <c r="E15" s="10">
        <v>6465487155</v>
      </c>
      <c r="F15" s="8" t="s">
        <v>15</v>
      </c>
      <c r="G15" s="8"/>
      <c r="H15" s="11" t="s">
        <v>38</v>
      </c>
      <c r="I15" s="11">
        <v>7</v>
      </c>
      <c r="J15" s="11">
        <v>5</v>
      </c>
      <c r="K15" s="12" t="s">
        <v>39</v>
      </c>
    </row>
    <row r="16" spans="1:11">
      <c r="A16" s="6" t="s">
        <v>73</v>
      </c>
      <c r="B16" s="7">
        <v>33368</v>
      </c>
      <c r="C16" s="8" t="s">
        <v>74</v>
      </c>
      <c r="D16" s="9" t="s">
        <v>75</v>
      </c>
      <c r="E16" s="10">
        <v>6462583050</v>
      </c>
      <c r="F16" s="8" t="s">
        <v>32</v>
      </c>
      <c r="G16" s="8"/>
      <c r="H16" s="11" t="s">
        <v>33</v>
      </c>
      <c r="I16" s="11">
        <v>9.5</v>
      </c>
      <c r="J16" s="11">
        <v>4</v>
      </c>
      <c r="K16" s="12" t="s">
        <v>23</v>
      </c>
    </row>
    <row r="17" spans="1:11">
      <c r="A17" s="6" t="s">
        <v>76</v>
      </c>
      <c r="B17" s="7">
        <v>44149</v>
      </c>
      <c r="C17" s="8" t="s">
        <v>77</v>
      </c>
      <c r="D17" s="9" t="s">
        <v>78</v>
      </c>
      <c r="E17" s="10">
        <v>3472854442</v>
      </c>
      <c r="F17" s="8" t="s">
        <v>21</v>
      </c>
      <c r="G17" s="8" t="s">
        <v>79</v>
      </c>
      <c r="H17" s="11" t="s">
        <v>28</v>
      </c>
      <c r="I17" s="11">
        <v>7.5</v>
      </c>
      <c r="J17" s="11">
        <v>5</v>
      </c>
      <c r="K17" s="12" t="s">
        <v>23</v>
      </c>
    </row>
    <row r="18" spans="1:11">
      <c r="A18" s="6" t="s">
        <v>80</v>
      </c>
      <c r="B18" s="7">
        <v>503555</v>
      </c>
      <c r="C18" s="8" t="s">
        <v>81</v>
      </c>
      <c r="D18" s="9" t="s">
        <v>82</v>
      </c>
      <c r="E18" s="10">
        <v>3473763111</v>
      </c>
      <c r="F18" s="8" t="s">
        <v>21</v>
      </c>
      <c r="G18" s="8" t="s">
        <v>22</v>
      </c>
      <c r="H18" s="11" t="s">
        <v>56</v>
      </c>
      <c r="I18" s="11">
        <v>7.5</v>
      </c>
      <c r="J18" s="11">
        <v>5</v>
      </c>
      <c r="K18" s="12" t="s">
        <v>23</v>
      </c>
    </row>
    <row r="19" spans="1:11">
      <c r="A19" s="6" t="s">
        <v>83</v>
      </c>
      <c r="B19" s="7">
        <v>32329</v>
      </c>
      <c r="C19" s="8" t="s">
        <v>84</v>
      </c>
      <c r="D19" s="9" t="s">
        <v>85</v>
      </c>
      <c r="E19" s="10">
        <v>7188667730</v>
      </c>
      <c r="F19" s="8" t="s">
        <v>21</v>
      </c>
      <c r="G19" s="8" t="s">
        <v>46</v>
      </c>
      <c r="H19" s="11" t="s">
        <v>16</v>
      </c>
      <c r="I19" s="11">
        <v>7.5</v>
      </c>
      <c r="J19" s="11">
        <v>5</v>
      </c>
      <c r="K19" s="12" t="s">
        <v>23</v>
      </c>
    </row>
    <row r="20" spans="1:11">
      <c r="A20" s="6" t="s">
        <v>86</v>
      </c>
      <c r="B20" s="7">
        <v>507111</v>
      </c>
      <c r="C20" s="8" t="s">
        <v>87</v>
      </c>
      <c r="D20" s="9" t="s">
        <v>88</v>
      </c>
      <c r="E20" s="10">
        <v>3475435617</v>
      </c>
      <c r="F20" s="8" t="s">
        <v>89</v>
      </c>
      <c r="G20" s="8"/>
      <c r="H20" s="11" t="s">
        <v>16</v>
      </c>
      <c r="I20" s="11">
        <v>7.5</v>
      </c>
      <c r="J20" s="11">
        <v>5</v>
      </c>
      <c r="K20" s="12" t="s">
        <v>90</v>
      </c>
    </row>
    <row r="21" spans="1:11">
      <c r="A21" s="6" t="s">
        <v>91</v>
      </c>
      <c r="B21" s="7">
        <v>511030</v>
      </c>
      <c r="C21" s="8" t="s">
        <v>92</v>
      </c>
      <c r="D21" s="9" t="s">
        <v>93</v>
      </c>
      <c r="E21" s="10">
        <v>6466990300</v>
      </c>
      <c r="F21" s="8" t="s">
        <v>94</v>
      </c>
      <c r="G21" s="8"/>
      <c r="H21" s="11" t="s">
        <v>16</v>
      </c>
      <c r="I21" s="11">
        <v>7.5</v>
      </c>
      <c r="J21" s="11">
        <v>5</v>
      </c>
      <c r="K21" s="12" t="s">
        <v>23</v>
      </c>
    </row>
    <row r="22" spans="1:11">
      <c r="A22" s="6" t="s">
        <v>95</v>
      </c>
      <c r="B22" s="7">
        <v>521223</v>
      </c>
      <c r="C22" s="8" t="s">
        <v>96</v>
      </c>
      <c r="D22" s="9" t="s">
        <v>97</v>
      </c>
      <c r="E22" s="10">
        <v>9148004520</v>
      </c>
      <c r="F22" s="8" t="s">
        <v>15</v>
      </c>
      <c r="G22" s="8"/>
      <c r="H22" s="11" t="s">
        <v>28</v>
      </c>
      <c r="I22" s="11">
        <v>7.5</v>
      </c>
      <c r="J22" s="11">
        <v>5</v>
      </c>
      <c r="K22" s="12" t="s">
        <v>34</v>
      </c>
    </row>
    <row r="23" spans="1:11">
      <c r="A23" s="6" t="s">
        <v>98</v>
      </c>
      <c r="B23" s="7">
        <v>34428</v>
      </c>
      <c r="C23" s="8" t="s">
        <v>99</v>
      </c>
      <c r="D23" s="9" t="s">
        <v>100</v>
      </c>
      <c r="E23" s="10">
        <v>3474217180</v>
      </c>
      <c r="F23" s="8" t="s">
        <v>32</v>
      </c>
      <c r="G23" s="8" t="s">
        <v>22</v>
      </c>
      <c r="H23" s="11" t="s">
        <v>16</v>
      </c>
      <c r="I23" s="11">
        <v>7.5</v>
      </c>
      <c r="J23" s="11">
        <v>5</v>
      </c>
      <c r="K23" s="12" t="s">
        <v>23</v>
      </c>
    </row>
    <row r="24" spans="1:11">
      <c r="A24" s="6" t="s">
        <v>101</v>
      </c>
      <c r="B24" s="7">
        <v>520196</v>
      </c>
      <c r="C24" s="8" t="s">
        <v>102</v>
      </c>
      <c r="D24" s="9" t="s">
        <v>103</v>
      </c>
      <c r="E24" s="10">
        <v>6178358845</v>
      </c>
      <c r="F24" s="8" t="s">
        <v>32</v>
      </c>
      <c r="G24" s="8"/>
      <c r="H24" s="11" t="s">
        <v>16</v>
      </c>
      <c r="I24" s="11">
        <v>7.5</v>
      </c>
      <c r="J24" s="11">
        <v>3</v>
      </c>
      <c r="K24" s="12" t="s">
        <v>23</v>
      </c>
    </row>
    <row r="25" spans="1:11">
      <c r="A25" s="6" t="s">
        <v>104</v>
      </c>
      <c r="B25" s="7">
        <v>42598</v>
      </c>
      <c r="C25" s="8" t="s">
        <v>105</v>
      </c>
      <c r="D25" s="9" t="s">
        <v>106</v>
      </c>
      <c r="E25" s="10">
        <v>9177345609</v>
      </c>
      <c r="F25" s="8" t="s">
        <v>89</v>
      </c>
      <c r="G25" s="8"/>
      <c r="H25" s="11" t="s">
        <v>107</v>
      </c>
      <c r="I25" s="11">
        <v>9.5</v>
      </c>
      <c r="J25" s="11">
        <v>4</v>
      </c>
      <c r="K25" s="12" t="s">
        <v>90</v>
      </c>
    </row>
    <row r="26" spans="1:11">
      <c r="A26" s="6" t="s">
        <v>108</v>
      </c>
      <c r="B26" s="7">
        <v>32000</v>
      </c>
      <c r="C26" s="8" t="s">
        <v>109</v>
      </c>
      <c r="D26" s="9" t="s">
        <v>110</v>
      </c>
      <c r="E26" s="10">
        <v>3478515530</v>
      </c>
      <c r="F26" s="8" t="s">
        <v>21</v>
      </c>
      <c r="G26" s="8" t="s">
        <v>46</v>
      </c>
      <c r="H26" s="11" t="s">
        <v>16</v>
      </c>
      <c r="I26" s="11">
        <v>7.5</v>
      </c>
      <c r="J26" s="11">
        <v>5</v>
      </c>
      <c r="K26" s="12" t="s">
        <v>23</v>
      </c>
    </row>
    <row r="27" spans="1:11">
      <c r="A27" s="6" t="s">
        <v>111</v>
      </c>
      <c r="B27" s="7">
        <v>35169</v>
      </c>
      <c r="C27" s="8" t="s">
        <v>112</v>
      </c>
      <c r="D27" s="9" t="s">
        <v>113</v>
      </c>
      <c r="E27" s="10">
        <v>9175696505</v>
      </c>
      <c r="F27" s="8" t="s">
        <v>21</v>
      </c>
      <c r="G27" s="8"/>
      <c r="H27" s="11" t="s">
        <v>33</v>
      </c>
      <c r="I27" s="11">
        <v>9.5</v>
      </c>
      <c r="J27" s="11">
        <v>4</v>
      </c>
      <c r="K27" s="12" t="s">
        <v>17</v>
      </c>
    </row>
    <row r="28" spans="1:11">
      <c r="A28" s="6" t="s">
        <v>114</v>
      </c>
      <c r="B28" s="7">
        <v>519476</v>
      </c>
      <c r="C28" s="8" t="s">
        <v>115</v>
      </c>
      <c r="D28" s="1" t="s">
        <v>116</v>
      </c>
      <c r="E28" s="10">
        <v>3477341565</v>
      </c>
      <c r="F28" s="8" t="s">
        <v>21</v>
      </c>
      <c r="G28" s="8" t="s">
        <v>22</v>
      </c>
      <c r="H28" s="11" t="s">
        <v>16</v>
      </c>
      <c r="I28" s="11">
        <v>7.5</v>
      </c>
      <c r="J28" s="11">
        <v>5</v>
      </c>
      <c r="K28" s="12" t="s">
        <v>23</v>
      </c>
    </row>
    <row r="29" spans="1:11">
      <c r="A29" s="6" t="s">
        <v>117</v>
      </c>
      <c r="B29" s="7">
        <v>504615</v>
      </c>
      <c r="C29" s="8" t="s">
        <v>118</v>
      </c>
      <c r="D29" s="9" t="s">
        <v>119</v>
      </c>
      <c r="E29" s="10">
        <v>9179304322</v>
      </c>
      <c r="F29" s="8" t="s">
        <v>120</v>
      </c>
      <c r="G29" s="8"/>
      <c r="H29" s="11" t="s">
        <v>56</v>
      </c>
      <c r="I29" s="11">
        <v>7.5</v>
      </c>
      <c r="J29" s="11">
        <v>5</v>
      </c>
      <c r="K29" s="12" t="s">
        <v>23</v>
      </c>
    </row>
    <row r="30" spans="1:11">
      <c r="A30" s="6" t="s">
        <v>121</v>
      </c>
      <c r="B30" s="7">
        <v>20372</v>
      </c>
      <c r="C30" s="8" t="s">
        <v>122</v>
      </c>
      <c r="D30" s="9" t="s">
        <v>123</v>
      </c>
      <c r="E30" s="10">
        <v>6462282933</v>
      </c>
      <c r="F30" s="8" t="s">
        <v>21</v>
      </c>
      <c r="G30" s="8"/>
      <c r="H30" s="11" t="s">
        <v>47</v>
      </c>
      <c r="I30" s="11">
        <v>7.5</v>
      </c>
      <c r="J30" s="11">
        <v>5</v>
      </c>
      <c r="K30" s="12" t="s">
        <v>23</v>
      </c>
    </row>
    <row r="31" spans="1:11">
      <c r="A31" s="6" t="s">
        <v>124</v>
      </c>
      <c r="B31" s="7">
        <v>46140</v>
      </c>
      <c r="C31" s="8" t="s">
        <v>125</v>
      </c>
      <c r="D31" s="9" t="s">
        <v>126</v>
      </c>
      <c r="E31" s="10">
        <v>9174286599</v>
      </c>
      <c r="F31" s="8" t="s">
        <v>89</v>
      </c>
      <c r="G31" s="8"/>
      <c r="H31" s="11" t="s">
        <v>33</v>
      </c>
      <c r="I31" s="11">
        <v>9.5</v>
      </c>
      <c r="J31" s="11">
        <v>4</v>
      </c>
      <c r="K31" s="12" t="s">
        <v>127</v>
      </c>
    </row>
    <row r="32" spans="1:11">
      <c r="A32" s="6" t="s">
        <v>128</v>
      </c>
      <c r="B32" s="7">
        <v>523809</v>
      </c>
      <c r="C32" s="8" t="s">
        <v>129</v>
      </c>
      <c r="D32" s="9" t="s">
        <v>130</v>
      </c>
      <c r="E32" s="10">
        <v>9146299368</v>
      </c>
      <c r="F32" s="8" t="s">
        <v>131</v>
      </c>
      <c r="G32" s="8"/>
      <c r="H32" s="11" t="s">
        <v>56</v>
      </c>
      <c r="I32" s="11">
        <v>7.5</v>
      </c>
      <c r="J32" s="11">
        <v>5</v>
      </c>
      <c r="K32" s="12" t="s">
        <v>23</v>
      </c>
    </row>
    <row r="33" spans="1:11">
      <c r="A33" s="6" t="s">
        <v>132</v>
      </c>
      <c r="B33" s="7">
        <v>23013</v>
      </c>
      <c r="C33" s="8" t="s">
        <v>133</v>
      </c>
      <c r="D33" s="9" t="s">
        <v>134</v>
      </c>
      <c r="E33" s="10">
        <v>8456894281</v>
      </c>
      <c r="F33" s="8" t="s">
        <v>32</v>
      </c>
      <c r="G33" s="8"/>
      <c r="H33" s="11" t="s">
        <v>135</v>
      </c>
      <c r="I33" s="11">
        <v>12.5</v>
      </c>
      <c r="J33" s="11">
        <v>3</v>
      </c>
      <c r="K33" s="12" t="s">
        <v>23</v>
      </c>
    </row>
    <row r="34" spans="1:11">
      <c r="A34" s="6" t="s">
        <v>136</v>
      </c>
      <c r="B34" s="7">
        <v>26654</v>
      </c>
      <c r="C34" s="8" t="s">
        <v>137</v>
      </c>
      <c r="D34" s="9" t="s">
        <v>138</v>
      </c>
      <c r="E34" s="10">
        <v>7187758704</v>
      </c>
      <c r="F34" s="8" t="s">
        <v>89</v>
      </c>
      <c r="G34" s="8"/>
      <c r="H34" s="11" t="s">
        <v>33</v>
      </c>
      <c r="I34" s="11">
        <v>9.5</v>
      </c>
      <c r="J34" s="11">
        <v>4</v>
      </c>
      <c r="K34" s="12" t="s">
        <v>90</v>
      </c>
    </row>
    <row r="35" spans="1:11">
      <c r="A35" s="6" t="s">
        <v>139</v>
      </c>
      <c r="B35" s="7">
        <v>526148</v>
      </c>
      <c r="C35" s="8" t="s">
        <v>140</v>
      </c>
      <c r="D35" s="9" t="s">
        <v>141</v>
      </c>
      <c r="E35" s="10">
        <v>9175646157</v>
      </c>
      <c r="F35" s="8" t="s">
        <v>131</v>
      </c>
      <c r="G35" s="8"/>
      <c r="H35" s="11" t="s">
        <v>28</v>
      </c>
      <c r="I35" s="11">
        <v>7.5</v>
      </c>
      <c r="J35" s="11">
        <v>5</v>
      </c>
      <c r="K35" s="12" t="s">
        <v>23</v>
      </c>
    </row>
    <row r="36" spans="1:11">
      <c r="A36" s="6" t="s">
        <v>142</v>
      </c>
      <c r="B36" s="7">
        <v>32094</v>
      </c>
      <c r="C36" s="8" t="s">
        <v>143</v>
      </c>
      <c r="D36" s="9" t="s">
        <v>144</v>
      </c>
      <c r="E36" s="10">
        <v>7186442648</v>
      </c>
      <c r="F36" s="8" t="s">
        <v>145</v>
      </c>
      <c r="G36" s="8"/>
      <c r="H36" s="11" t="s">
        <v>107</v>
      </c>
      <c r="I36" s="11">
        <v>9.5</v>
      </c>
      <c r="J36" s="11">
        <v>4</v>
      </c>
      <c r="K36" s="12" t="s">
        <v>23</v>
      </c>
    </row>
    <row r="37" spans="1:11">
      <c r="A37" s="6" t="s">
        <v>146</v>
      </c>
      <c r="B37" s="7">
        <v>47136</v>
      </c>
      <c r="C37" s="8" t="s">
        <v>147</v>
      </c>
      <c r="D37" s="9" t="s">
        <v>148</v>
      </c>
      <c r="E37" s="10">
        <v>7187670336</v>
      </c>
      <c r="F37" s="8" t="s">
        <v>89</v>
      </c>
      <c r="G37" s="8"/>
      <c r="H37" s="11" t="s">
        <v>107</v>
      </c>
      <c r="I37" s="11">
        <v>9.5</v>
      </c>
      <c r="J37" s="11">
        <v>4</v>
      </c>
      <c r="K37" s="12" t="s">
        <v>90</v>
      </c>
    </row>
    <row r="38" spans="1:11">
      <c r="A38" s="6" t="s">
        <v>149</v>
      </c>
      <c r="B38" s="7">
        <v>515915</v>
      </c>
      <c r="C38" s="8" t="s">
        <v>150</v>
      </c>
      <c r="D38" s="9" t="s">
        <v>151</v>
      </c>
      <c r="E38" s="10">
        <v>3474011974</v>
      </c>
      <c r="F38" s="8" t="s">
        <v>21</v>
      </c>
      <c r="G38" s="8" t="s">
        <v>46</v>
      </c>
      <c r="H38" s="11" t="s">
        <v>28</v>
      </c>
      <c r="I38" s="11">
        <v>7.5</v>
      </c>
      <c r="J38" s="11">
        <v>5</v>
      </c>
      <c r="K38" s="12" t="s">
        <v>23</v>
      </c>
    </row>
    <row r="39" spans="1:11">
      <c r="A39" s="6" t="s">
        <v>152</v>
      </c>
      <c r="B39" s="7">
        <v>37398</v>
      </c>
      <c r="C39" s="8" t="s">
        <v>153</v>
      </c>
      <c r="D39" s="9" t="s">
        <v>154</v>
      </c>
      <c r="E39" s="10">
        <v>7189186380</v>
      </c>
      <c r="F39" s="8" t="s">
        <v>32</v>
      </c>
      <c r="G39" s="8"/>
      <c r="H39" s="11" t="s">
        <v>155</v>
      </c>
      <c r="I39" s="11">
        <v>9.5</v>
      </c>
      <c r="J39" s="11">
        <v>4</v>
      </c>
      <c r="K39" s="12" t="s">
        <v>90</v>
      </c>
    </row>
    <row r="40" spans="1:11">
      <c r="A40" s="6" t="s">
        <v>156</v>
      </c>
      <c r="B40" s="7">
        <v>519366</v>
      </c>
      <c r="C40" s="8" t="s">
        <v>157</v>
      </c>
      <c r="D40" s="9" t="s">
        <v>158</v>
      </c>
      <c r="E40" s="10">
        <v>3477447720</v>
      </c>
      <c r="F40" s="8" t="s">
        <v>94</v>
      </c>
      <c r="G40" s="8"/>
      <c r="H40" s="11" t="s">
        <v>28</v>
      </c>
      <c r="I40" s="11">
        <v>7.5</v>
      </c>
      <c r="J40" s="11">
        <v>5</v>
      </c>
      <c r="K40" s="12" t="s">
        <v>39</v>
      </c>
    </row>
    <row r="41" spans="1:11">
      <c r="A41" s="6" t="s">
        <v>159</v>
      </c>
      <c r="B41" s="7">
        <v>520227</v>
      </c>
      <c r="C41" s="8" t="s">
        <v>160</v>
      </c>
      <c r="D41" s="9" t="s">
        <v>161</v>
      </c>
      <c r="E41" s="10">
        <v>9144844481</v>
      </c>
      <c r="F41" s="8" t="s">
        <v>32</v>
      </c>
      <c r="G41" s="8"/>
      <c r="H41" s="11" t="s">
        <v>33</v>
      </c>
      <c r="I41" s="11">
        <v>9.5</v>
      </c>
      <c r="J41" s="11">
        <v>4</v>
      </c>
      <c r="K41" s="12" t="s">
        <v>63</v>
      </c>
    </row>
    <row r="42" spans="1:11">
      <c r="A42" s="6" t="s">
        <v>162</v>
      </c>
      <c r="B42" s="7">
        <v>26015</v>
      </c>
      <c r="C42" s="8" t="s">
        <v>163</v>
      </c>
      <c r="D42" s="9" t="s">
        <v>164</v>
      </c>
      <c r="E42" s="10">
        <v>7182943208</v>
      </c>
      <c r="F42" s="8" t="s">
        <v>89</v>
      </c>
      <c r="G42" s="8"/>
      <c r="H42" s="11" t="s">
        <v>33</v>
      </c>
      <c r="I42" s="11">
        <v>9.5</v>
      </c>
      <c r="J42" s="11">
        <v>4</v>
      </c>
      <c r="K42" s="12" t="s">
        <v>90</v>
      </c>
    </row>
    <row r="43" spans="1:11">
      <c r="A43" s="6" t="s">
        <v>165</v>
      </c>
      <c r="B43" s="7">
        <v>13011</v>
      </c>
      <c r="C43" s="8" t="s">
        <v>166</v>
      </c>
      <c r="D43" s="9" t="s">
        <v>167</v>
      </c>
      <c r="E43" s="10">
        <v>9176904513</v>
      </c>
      <c r="F43" s="8" t="s">
        <v>89</v>
      </c>
      <c r="G43" s="8"/>
      <c r="H43" s="11" t="s">
        <v>155</v>
      </c>
      <c r="I43" s="11">
        <v>9.5</v>
      </c>
      <c r="J43" s="11">
        <v>4</v>
      </c>
      <c r="K43" s="12" t="s">
        <v>63</v>
      </c>
    </row>
    <row r="44" spans="1:11">
      <c r="A44" s="6" t="s">
        <v>168</v>
      </c>
      <c r="B44" s="7">
        <v>518931</v>
      </c>
      <c r="C44" s="8" t="s">
        <v>169</v>
      </c>
      <c r="D44" s="9" t="s">
        <v>170</v>
      </c>
      <c r="E44" s="10">
        <v>9175579916</v>
      </c>
      <c r="F44" s="8" t="s">
        <v>171</v>
      </c>
      <c r="G44" s="8"/>
      <c r="H44" s="11" t="s">
        <v>28</v>
      </c>
      <c r="I44" s="11">
        <v>7.5</v>
      </c>
      <c r="J44" s="11">
        <v>5</v>
      </c>
      <c r="K44" s="12" t="s">
        <v>23</v>
      </c>
    </row>
    <row r="45" spans="1:11">
      <c r="A45" s="6" t="s">
        <v>172</v>
      </c>
      <c r="B45" s="7">
        <v>512094</v>
      </c>
      <c r="C45" s="8" t="s">
        <v>173</v>
      </c>
      <c r="D45" s="9" t="s">
        <v>174</v>
      </c>
      <c r="E45" s="10">
        <v>3478196083</v>
      </c>
      <c r="F45" s="8" t="s">
        <v>21</v>
      </c>
      <c r="G45" s="8" t="s">
        <v>22</v>
      </c>
      <c r="H45" s="11" t="s">
        <v>16</v>
      </c>
      <c r="I45" s="11">
        <v>7.5</v>
      </c>
      <c r="J45" s="11">
        <v>5</v>
      </c>
      <c r="K45" s="12" t="s">
        <v>23</v>
      </c>
    </row>
    <row r="46" spans="1:11">
      <c r="A46" s="6" t="s">
        <v>175</v>
      </c>
      <c r="B46" s="7">
        <v>518701</v>
      </c>
      <c r="C46" s="8" t="s">
        <v>176</v>
      </c>
      <c r="D46" s="9" t="s">
        <v>177</v>
      </c>
      <c r="E46" s="10">
        <v>9789024298</v>
      </c>
      <c r="F46" s="8" t="s">
        <v>21</v>
      </c>
      <c r="G46" s="8" t="s">
        <v>55</v>
      </c>
      <c r="H46" s="11" t="s">
        <v>28</v>
      </c>
      <c r="I46" s="11">
        <v>7.5</v>
      </c>
      <c r="J46" s="11">
        <v>5</v>
      </c>
      <c r="K46" s="12" t="s">
        <v>63</v>
      </c>
    </row>
    <row r="47" spans="1:11">
      <c r="A47" s="6" t="s">
        <v>178</v>
      </c>
      <c r="B47" s="7">
        <v>525308</v>
      </c>
      <c r="C47" s="8" t="s">
        <v>179</v>
      </c>
      <c r="D47" s="9" t="s">
        <v>180</v>
      </c>
      <c r="E47" s="10">
        <v>7189625318</v>
      </c>
      <c r="F47" s="8" t="s">
        <v>181</v>
      </c>
      <c r="G47" s="8"/>
      <c r="H47" s="11" t="s">
        <v>28</v>
      </c>
      <c r="I47" s="11">
        <v>7.5</v>
      </c>
      <c r="J47" s="11">
        <v>5</v>
      </c>
      <c r="K47" s="12" t="s">
        <v>23</v>
      </c>
    </row>
    <row r="48" spans="1:11">
      <c r="A48" s="6" t="s">
        <v>182</v>
      </c>
      <c r="B48" s="7">
        <v>3557</v>
      </c>
      <c r="C48" s="8" t="s">
        <v>183</v>
      </c>
      <c r="D48" s="9" t="s">
        <v>184</v>
      </c>
      <c r="E48" s="10">
        <v>7186540104</v>
      </c>
      <c r="F48" s="8" t="s">
        <v>21</v>
      </c>
      <c r="G48" s="8" t="s">
        <v>185</v>
      </c>
      <c r="H48" s="11" t="s">
        <v>16</v>
      </c>
      <c r="I48" s="11">
        <v>7.5</v>
      </c>
      <c r="J48" s="11">
        <v>5</v>
      </c>
      <c r="K48" s="12" t="s">
        <v>63</v>
      </c>
    </row>
    <row r="49" spans="1:11">
      <c r="A49" s="6" t="s">
        <v>186</v>
      </c>
      <c r="B49" s="7">
        <v>518482</v>
      </c>
      <c r="C49" s="8" t="s">
        <v>187</v>
      </c>
      <c r="D49" s="9" t="s">
        <v>188</v>
      </c>
      <c r="E49" s="10">
        <v>3479206696</v>
      </c>
      <c r="F49" s="8" t="s">
        <v>189</v>
      </c>
      <c r="G49" s="8" t="s">
        <v>22</v>
      </c>
      <c r="H49" s="11" t="s">
        <v>47</v>
      </c>
      <c r="I49" s="11">
        <v>7</v>
      </c>
      <c r="J49" s="11">
        <v>5</v>
      </c>
      <c r="K49" s="12" t="s">
        <v>39</v>
      </c>
    </row>
    <row r="50" spans="1:11">
      <c r="A50" s="6" t="s">
        <v>190</v>
      </c>
      <c r="B50" s="7">
        <v>509828</v>
      </c>
      <c r="C50" s="8" t="s">
        <v>191</v>
      </c>
      <c r="D50" s="9" t="s">
        <v>192</v>
      </c>
      <c r="E50" s="10">
        <v>9174140035</v>
      </c>
      <c r="F50" s="8" t="s">
        <v>32</v>
      </c>
      <c r="G50" s="8"/>
      <c r="H50" s="11" t="s">
        <v>33</v>
      </c>
      <c r="I50" s="11">
        <v>9.5</v>
      </c>
      <c r="J50" s="11">
        <v>4</v>
      </c>
      <c r="K50" s="12" t="s">
        <v>34</v>
      </c>
    </row>
    <row r="51" spans="1:11">
      <c r="A51" s="6" t="s">
        <v>193</v>
      </c>
      <c r="B51" s="7">
        <v>510060</v>
      </c>
      <c r="C51" s="8" t="s">
        <v>194</v>
      </c>
      <c r="D51" s="9" t="s">
        <v>195</v>
      </c>
      <c r="E51" s="10"/>
      <c r="F51" s="8" t="s">
        <v>89</v>
      </c>
      <c r="G51" s="8"/>
      <c r="H51" s="11" t="s">
        <v>16</v>
      </c>
      <c r="I51" s="11">
        <v>7.5</v>
      </c>
      <c r="J51" s="11">
        <v>5</v>
      </c>
      <c r="K51" s="12" t="s">
        <v>90</v>
      </c>
    </row>
    <row r="52" spans="1:11">
      <c r="A52" s="6" t="s">
        <v>196</v>
      </c>
      <c r="B52" s="7">
        <v>512263</v>
      </c>
      <c r="C52" s="8" t="s">
        <v>197</v>
      </c>
      <c r="D52" s="9" t="s">
        <v>198</v>
      </c>
      <c r="E52" s="10">
        <v>6464910256</v>
      </c>
      <c r="F52" s="8" t="s">
        <v>199</v>
      </c>
      <c r="G52" s="8"/>
      <c r="H52" s="11" t="s">
        <v>28</v>
      </c>
      <c r="I52" s="11">
        <v>7.5</v>
      </c>
      <c r="J52" s="11">
        <v>5</v>
      </c>
      <c r="K52" s="12" t="s">
        <v>23</v>
      </c>
    </row>
    <row r="53" spans="1:11">
      <c r="A53" s="6" t="s">
        <v>200</v>
      </c>
      <c r="B53" s="7">
        <v>520324</v>
      </c>
      <c r="C53" s="8" t="s">
        <v>201</v>
      </c>
      <c r="D53" s="9" t="s">
        <v>202</v>
      </c>
      <c r="E53" s="10">
        <v>2675060056</v>
      </c>
      <c r="F53" s="8" t="s">
        <v>203</v>
      </c>
      <c r="G53" s="8"/>
      <c r="H53" s="11" t="s">
        <v>204</v>
      </c>
      <c r="I53" s="11">
        <v>12.5</v>
      </c>
      <c r="J53" s="11">
        <v>5</v>
      </c>
      <c r="K53" s="12" t="s">
        <v>205</v>
      </c>
    </row>
    <row r="54" spans="1:11">
      <c r="A54" s="6" t="s">
        <v>206</v>
      </c>
      <c r="B54" s="7">
        <v>508436</v>
      </c>
      <c r="C54" s="8" t="s">
        <v>207</v>
      </c>
      <c r="D54" s="9" t="s">
        <v>208</v>
      </c>
      <c r="E54" s="10">
        <v>2677090460</v>
      </c>
      <c r="F54" s="8" t="s">
        <v>203</v>
      </c>
      <c r="G54" s="8"/>
      <c r="H54" s="11" t="s">
        <v>204</v>
      </c>
      <c r="I54" s="11">
        <v>12.5</v>
      </c>
      <c r="J54" s="11">
        <v>5</v>
      </c>
      <c r="K54" s="12" t="s">
        <v>209</v>
      </c>
    </row>
    <row r="55" spans="1:11">
      <c r="A55" s="6" t="s">
        <v>210</v>
      </c>
      <c r="B55" s="7">
        <v>510338</v>
      </c>
      <c r="C55" s="8" t="s">
        <v>211</v>
      </c>
      <c r="D55" s="9" t="s">
        <v>212</v>
      </c>
      <c r="E55" s="10">
        <v>3478338645</v>
      </c>
      <c r="F55" s="8" t="s">
        <v>189</v>
      </c>
      <c r="G55" s="8" t="s">
        <v>55</v>
      </c>
      <c r="H55" s="11" t="s">
        <v>38</v>
      </c>
      <c r="I55" s="11">
        <v>7</v>
      </c>
      <c r="J55" s="11">
        <v>5</v>
      </c>
      <c r="K55" s="12" t="s">
        <v>39</v>
      </c>
    </row>
    <row r="56" spans="1:11">
      <c r="A56" s="6" t="s">
        <v>213</v>
      </c>
      <c r="B56" s="7">
        <v>511938</v>
      </c>
      <c r="C56" s="8" t="s">
        <v>214</v>
      </c>
      <c r="D56" s="9" t="s">
        <v>215</v>
      </c>
      <c r="E56" s="10">
        <v>3473871377</v>
      </c>
      <c r="F56" s="8" t="s">
        <v>32</v>
      </c>
      <c r="G56" s="8"/>
      <c r="H56" s="11" t="s">
        <v>33</v>
      </c>
      <c r="I56" s="11">
        <v>9.5</v>
      </c>
      <c r="J56" s="11">
        <v>4</v>
      </c>
      <c r="K56" s="12" t="s">
        <v>17</v>
      </c>
    </row>
    <row r="57" spans="1:11">
      <c r="A57" s="6" t="s">
        <v>216</v>
      </c>
      <c r="B57" s="7">
        <v>37181</v>
      </c>
      <c r="C57" s="8" t="s">
        <v>217</v>
      </c>
      <c r="D57" s="9" t="s">
        <v>218</v>
      </c>
      <c r="E57" s="10">
        <v>3475838229</v>
      </c>
      <c r="F57" s="8" t="s">
        <v>219</v>
      </c>
      <c r="G57" s="8"/>
      <c r="H57" s="11" t="s">
        <v>16</v>
      </c>
      <c r="I57" s="11">
        <v>7.5</v>
      </c>
      <c r="J57" s="11">
        <v>5</v>
      </c>
      <c r="K57" s="12" t="s">
        <v>23</v>
      </c>
    </row>
    <row r="58" spans="1:11">
      <c r="A58" s="6" t="s">
        <v>220</v>
      </c>
      <c r="B58" s="7">
        <v>502964</v>
      </c>
      <c r="C58" s="8" t="s">
        <v>221</v>
      </c>
      <c r="D58" s="9" t="s">
        <v>222</v>
      </c>
      <c r="E58" s="10">
        <v>6468812703</v>
      </c>
      <c r="F58" s="8" t="s">
        <v>21</v>
      </c>
      <c r="G58" s="8" t="s">
        <v>46</v>
      </c>
      <c r="H58" s="11" t="s">
        <v>223</v>
      </c>
      <c r="I58" s="11">
        <v>7.5</v>
      </c>
      <c r="J58" s="11">
        <v>5</v>
      </c>
      <c r="K58" s="12" t="s">
        <v>23</v>
      </c>
    </row>
    <row r="59" spans="1:11">
      <c r="A59" s="6" t="s">
        <v>224</v>
      </c>
      <c r="B59" s="7">
        <v>37523</v>
      </c>
      <c r="C59" s="8" t="s">
        <v>225</v>
      </c>
      <c r="D59" s="9" t="s">
        <v>226</v>
      </c>
      <c r="E59" s="10">
        <v>7189087848</v>
      </c>
      <c r="F59" s="8" t="s">
        <v>32</v>
      </c>
      <c r="G59" s="8"/>
      <c r="H59" s="11" t="s">
        <v>33</v>
      </c>
      <c r="I59" s="11">
        <v>9.5</v>
      </c>
      <c r="J59" s="11">
        <v>4</v>
      </c>
      <c r="K59" s="12" t="s">
        <v>63</v>
      </c>
    </row>
    <row r="60" spans="1:11">
      <c r="A60" s="6" t="s">
        <v>227</v>
      </c>
      <c r="B60" s="7">
        <v>503102</v>
      </c>
      <c r="C60" s="8" t="s">
        <v>228</v>
      </c>
      <c r="D60" s="9" t="s">
        <v>229</v>
      </c>
      <c r="E60" s="10">
        <v>9172147647</v>
      </c>
      <c r="F60" s="8" t="s">
        <v>21</v>
      </c>
      <c r="G60" s="8" t="s">
        <v>55</v>
      </c>
      <c r="H60" s="11" t="s">
        <v>28</v>
      </c>
      <c r="I60" s="11">
        <v>7.5</v>
      </c>
      <c r="J60" s="11">
        <v>5</v>
      </c>
      <c r="K60" s="12" t="s">
        <v>17</v>
      </c>
    </row>
    <row r="61" spans="1:11">
      <c r="A61" s="6" t="s">
        <v>230</v>
      </c>
      <c r="B61" s="7">
        <v>49755</v>
      </c>
      <c r="C61" s="8" t="s">
        <v>231</v>
      </c>
      <c r="D61" s="9" t="s">
        <v>232</v>
      </c>
      <c r="E61" s="10">
        <v>3478659766</v>
      </c>
      <c r="F61" s="8" t="s">
        <v>21</v>
      </c>
      <c r="G61" s="8" t="s">
        <v>22</v>
      </c>
      <c r="H61" s="11" t="s">
        <v>16</v>
      </c>
      <c r="I61" s="11">
        <v>7.5</v>
      </c>
      <c r="J61" s="11">
        <v>5</v>
      </c>
      <c r="K61" s="12" t="s">
        <v>23</v>
      </c>
    </row>
    <row r="62" spans="1:11">
      <c r="A62" s="6" t="s">
        <v>233</v>
      </c>
      <c r="B62" s="7">
        <v>38627</v>
      </c>
      <c r="C62" s="8" t="s">
        <v>234</v>
      </c>
      <c r="D62" s="9" t="s">
        <v>235</v>
      </c>
      <c r="E62" s="10">
        <v>8456420744</v>
      </c>
      <c r="F62" s="8" t="s">
        <v>89</v>
      </c>
      <c r="G62" s="8"/>
      <c r="H62" s="11" t="s">
        <v>33</v>
      </c>
      <c r="I62" s="11">
        <v>9.5</v>
      </c>
      <c r="J62" s="11">
        <v>4</v>
      </c>
      <c r="K62" s="12" t="s">
        <v>90</v>
      </c>
    </row>
    <row r="63" spans="1:11">
      <c r="A63" s="6" t="s">
        <v>236</v>
      </c>
      <c r="B63" s="7">
        <v>518888</v>
      </c>
      <c r="C63" s="8" t="s">
        <v>237</v>
      </c>
      <c r="D63" s="9" t="s">
        <v>238</v>
      </c>
      <c r="E63" s="10">
        <v>3478439152</v>
      </c>
      <c r="F63" s="8" t="s">
        <v>21</v>
      </c>
      <c r="G63" s="8" t="s">
        <v>55</v>
      </c>
      <c r="H63" s="11" t="s">
        <v>16</v>
      </c>
      <c r="I63" s="11">
        <v>7.5</v>
      </c>
      <c r="J63" s="11">
        <v>5</v>
      </c>
      <c r="K63" s="12" t="s">
        <v>17</v>
      </c>
    </row>
    <row r="64" spans="1:11">
      <c r="A64" s="6" t="s">
        <v>239</v>
      </c>
      <c r="B64" s="7">
        <v>27804</v>
      </c>
      <c r="C64" s="8" t="s">
        <v>240</v>
      </c>
      <c r="D64" s="9" t="s">
        <v>241</v>
      </c>
      <c r="E64" s="10">
        <v>9144501218</v>
      </c>
      <c r="F64" s="8" t="s">
        <v>32</v>
      </c>
      <c r="G64" s="8"/>
      <c r="H64" s="11" t="s">
        <v>33</v>
      </c>
      <c r="I64" s="11">
        <v>9.5</v>
      </c>
      <c r="J64" s="11">
        <v>4</v>
      </c>
      <c r="K64" s="12" t="s">
        <v>34</v>
      </c>
    </row>
    <row r="65" spans="1:11">
      <c r="A65" s="6" t="s">
        <v>242</v>
      </c>
      <c r="B65" s="7">
        <v>503597</v>
      </c>
      <c r="C65" s="8" t="s">
        <v>243</v>
      </c>
      <c r="D65" s="9" t="s">
        <v>244</v>
      </c>
      <c r="E65" s="10">
        <v>6466859556</v>
      </c>
      <c r="F65" s="8" t="s">
        <v>94</v>
      </c>
      <c r="G65" s="8"/>
      <c r="H65" s="11" t="s">
        <v>28</v>
      </c>
      <c r="I65" s="11">
        <v>7.5</v>
      </c>
      <c r="J65" s="11">
        <v>5</v>
      </c>
      <c r="K65" s="12" t="s">
        <v>17</v>
      </c>
    </row>
  </sheetData>
  <hyperlinks>
    <hyperlink ref="D2" r:id="rId1" xr:uid="{E99DC1FA-AE75-4F8A-881F-51B692B63FF3}"/>
    <hyperlink ref="D3" r:id="rId2" xr:uid="{B5C7BA94-DAE5-4121-977B-00677E57F55A}"/>
    <hyperlink ref="D4" r:id="rId3" xr:uid="{0B9B6C7A-F31C-4B0F-B392-CD1B45B4B1AD}"/>
    <hyperlink ref="D5" r:id="rId4" xr:uid="{5BAC5311-ECE8-4041-9B96-51542B9FB216}"/>
    <hyperlink ref="D6" r:id="rId5" xr:uid="{9BA7D774-0BF9-4E50-B79A-547C3E4B1414}"/>
    <hyperlink ref="D7" r:id="rId6" xr:uid="{B0C37ACB-FABC-4A7A-8067-386E3FA00E8A}"/>
    <hyperlink ref="D8" r:id="rId7" xr:uid="{91C2F436-DEC9-4E6F-8FB9-EC1DD5E4C358}"/>
    <hyperlink ref="D10" r:id="rId8" xr:uid="{3E460CE4-C2C9-4C4E-80C9-DC1A57F3D4C3}"/>
    <hyperlink ref="D11" r:id="rId9" xr:uid="{8BCEFDDE-A7C8-45CA-B974-172067AE0C7B}"/>
    <hyperlink ref="D13" r:id="rId10" xr:uid="{B7233872-5CCB-4D5D-BEAF-5E70D614C6EB}"/>
    <hyperlink ref="D14" r:id="rId11" xr:uid="{35C2643D-5A36-42E4-B039-F9982C344EEC}"/>
    <hyperlink ref="D15" r:id="rId12" xr:uid="{7E8D8EA5-7217-4543-B155-436C389A1659}"/>
    <hyperlink ref="D16" r:id="rId13" xr:uid="{07665D18-FF12-4D45-9A2C-68CAB42033A8}"/>
    <hyperlink ref="D17" r:id="rId14" xr:uid="{58CB96CE-55CF-456F-ACD6-A55694F083E6}"/>
    <hyperlink ref="D18" r:id="rId15" xr:uid="{61C72B6A-5422-4FF4-AB7B-6B8F9DEF2179}"/>
    <hyperlink ref="D19" r:id="rId16" xr:uid="{DD132AC5-D628-42C9-B7A3-DD372A659504}"/>
    <hyperlink ref="D20" r:id="rId17" xr:uid="{C6FEE01B-A546-4872-B3C9-02EAD7276DB3}"/>
    <hyperlink ref="D21" r:id="rId18" xr:uid="{A66AE124-2909-4CBF-BF03-04CCB988346D}"/>
    <hyperlink ref="D22" r:id="rId19" xr:uid="{9724AB99-0AC0-4D81-8B46-B44E02AC4D1E}"/>
    <hyperlink ref="D23" r:id="rId20" xr:uid="{96C3E17D-A9AC-450B-A135-C7349D9613F4}"/>
    <hyperlink ref="D24" r:id="rId21" xr:uid="{952455FD-E2BE-468C-BF49-C39B651145C0}"/>
    <hyperlink ref="D25" r:id="rId22" xr:uid="{44AA2A0C-230B-4C43-A46D-D96EA617BE5E}"/>
    <hyperlink ref="D26" r:id="rId23" xr:uid="{61AB7890-7B1A-4A7E-AA0F-6665A3419962}"/>
    <hyperlink ref="D27" r:id="rId24" xr:uid="{21AFC78B-FB8E-47DF-BE10-6CBDF9A3962B}"/>
    <hyperlink ref="D28" r:id="rId25" xr:uid="{D8A144FF-10F7-452D-9EB9-92C5BFD3C97F}"/>
    <hyperlink ref="D29" r:id="rId26" xr:uid="{46FF8963-ACD2-4ACA-B241-99176C6AAF7A}"/>
    <hyperlink ref="D30" r:id="rId27" xr:uid="{3889D71C-FC7A-4B6D-9E10-3B6B2EA4F49C}"/>
    <hyperlink ref="D31" r:id="rId28" xr:uid="{59210499-87CC-478D-A753-6114B84F9CA9}"/>
    <hyperlink ref="D32" r:id="rId29" xr:uid="{416104CD-D466-4258-91BF-F25E38B00498}"/>
    <hyperlink ref="D33" r:id="rId30" xr:uid="{B29EBED2-3240-423F-A926-0E3AF89B467B}"/>
    <hyperlink ref="D34" r:id="rId31" xr:uid="{4FACD6E7-BEC9-4A29-B037-CE5AD753E174}"/>
    <hyperlink ref="D35" r:id="rId32" xr:uid="{BEA00A19-C27C-4D26-B467-61EE3B6A0F7E}"/>
    <hyperlink ref="D36" r:id="rId33" xr:uid="{3EC56015-C883-48D6-AF1A-604EC7C66928}"/>
    <hyperlink ref="D37" r:id="rId34" xr:uid="{DCFEF1FB-7656-431E-97F0-5A3750200183}"/>
    <hyperlink ref="D38" r:id="rId35" xr:uid="{4311FF80-3ABD-48F8-91F5-45B1E9B8F165}"/>
    <hyperlink ref="D39" r:id="rId36" xr:uid="{D6AC8289-D701-4DFA-81AE-678981E9E813}"/>
    <hyperlink ref="D40" r:id="rId37" xr:uid="{58602447-07B3-44DF-8EDF-038F14AEA914}"/>
    <hyperlink ref="D41" r:id="rId38" xr:uid="{E3AB41B1-60EA-4583-A8B1-578791230E2B}"/>
    <hyperlink ref="D42" r:id="rId39" xr:uid="{CC51F900-53D9-47F9-8E14-A987B279575B}"/>
    <hyperlink ref="D43" r:id="rId40" xr:uid="{BB149302-8786-46BF-AB01-4E0A7178D955}"/>
    <hyperlink ref="D44" r:id="rId41" xr:uid="{4FDF9298-8F5F-408D-B48F-9FF0620E33D8}"/>
    <hyperlink ref="D45" r:id="rId42" xr:uid="{8507EFF7-B608-4860-AF43-E85FDA927AD9}"/>
    <hyperlink ref="D46" r:id="rId43" xr:uid="{0718FD50-580B-4114-9EE6-1FCE16006151}"/>
    <hyperlink ref="D47" r:id="rId44" xr:uid="{C817546B-5A74-491A-A5F2-467EB7802A4C}"/>
    <hyperlink ref="D48" r:id="rId45" xr:uid="{1E7E693B-AAB0-4E7C-BFB7-F8AC285B08A1}"/>
    <hyperlink ref="D49" r:id="rId46" xr:uid="{5C47CB8A-C47D-4D53-BB19-19AEEC1F0177}"/>
    <hyperlink ref="D50" r:id="rId47" xr:uid="{869AB920-03AE-4EDB-A9F1-AEF3216BDF5E}"/>
    <hyperlink ref="D51" r:id="rId48" xr:uid="{CC2FAE8A-22C5-4E0E-9DEA-D9324A833B11}"/>
    <hyperlink ref="D52" r:id="rId49" xr:uid="{2311F5CC-1A9E-4329-8DC8-BEFD04100575}"/>
    <hyperlink ref="D53" r:id="rId50" xr:uid="{7B72DA69-65FC-43D9-B625-ED3FCD4A2915}"/>
    <hyperlink ref="D54" r:id="rId51" xr:uid="{531B3C63-E6FB-4009-BBA9-9D7936A374D9}"/>
    <hyperlink ref="D55" r:id="rId52" xr:uid="{E427DD48-2264-4569-B603-3A00CF5C23AD}"/>
    <hyperlink ref="D56" r:id="rId53" xr:uid="{FCFD10E3-C34A-4D19-870B-CBC4DAD398E0}"/>
    <hyperlink ref="D57" r:id="rId54" xr:uid="{90A50F85-49DB-4D95-AA33-2A8CA29FB840}"/>
    <hyperlink ref="D58" r:id="rId55" xr:uid="{DA14522E-D208-4DEE-A826-8DFDE3B44AAF}"/>
    <hyperlink ref="D59" r:id="rId56" xr:uid="{E684D0E3-1680-444E-914D-12E500CA218A}"/>
    <hyperlink ref="D60" r:id="rId57" xr:uid="{E35DCFBC-8CDA-4DF0-B9D2-B12E857C8E77}"/>
    <hyperlink ref="D61" r:id="rId58" xr:uid="{31ABDDE0-4D9D-4B79-B1AF-5C4F5338AF0D}"/>
    <hyperlink ref="D62" r:id="rId59" xr:uid="{0CF2B396-5BED-438E-B76A-796FD02452D1}"/>
    <hyperlink ref="D63" r:id="rId60" xr:uid="{3C0A5427-BC01-4CB8-8F2C-CAA9478A9791}"/>
    <hyperlink ref="D64" r:id="rId61" xr:uid="{22364D3A-2FEA-4096-9111-27B7EDC07CD3}"/>
    <hyperlink ref="D65" r:id="rId62" xr:uid="{83F69614-C061-4ABE-90F0-8CD2661FFC9E}"/>
  </hyperlinks>
  <pageMargins left="0.7" right="0.7" top="0.75" bottom="0.75" header="0.3" footer="0.3"/>
  <tableParts count="1">
    <tablePart r:id="rId6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869CAB2-5036-451C-986E-C0180F651F12}">
          <x14:formula1>
            <xm:f>'Drop down list'!$E$1:$E$11</xm:f>
          </x14:formula1>
          <xm:sqref>H2:H65</xm:sqref>
        </x14:dataValidation>
        <x14:dataValidation type="list" allowBlank="1" showInputMessage="1" showErrorMessage="1" xr:uid="{B2F23F87-5F35-4C32-86F2-5124E45E1052}">
          <x14:formula1>
            <xm:f>'Drop down list'!$G$1:$G$3</xm:f>
          </x14:formula1>
          <xm:sqref>J2:J65</xm:sqref>
        </x14:dataValidation>
        <x14:dataValidation type="list" allowBlank="1" showInputMessage="1" showErrorMessage="1" xr:uid="{934ED2D4-AE6D-4AB2-B2BC-CE38650D947A}">
          <x14:formula1>
            <xm:f>'Drop down list'!$I$1:$I$4</xm:f>
          </x14:formula1>
          <xm:sqref>I2:I65</xm:sqref>
        </x14:dataValidation>
        <x14:dataValidation type="list" allowBlank="1" showInputMessage="1" showErrorMessage="1" xr:uid="{CE372B7A-DF52-400E-B88B-9EC3297CEA7C}">
          <x14:formula1>
            <xm:f>'Drop down list'!$C$1:$C$9</xm:f>
          </x14:formula1>
          <xm:sqref>K2:K65</xm:sqref>
        </x14:dataValidation>
        <x14:dataValidation type="list" allowBlank="1" showInputMessage="1" showErrorMessage="1" xr:uid="{07530710-62AF-49DF-8774-BB8C81C367CD}">
          <x14:formula1>
            <xm:f>'Drop down list'!$A$1:$A$17</xm:f>
          </x14:formula1>
          <xm:sqref>F2:F65</xm:sqref>
        </x14:dataValidation>
        <x14:dataValidation type="list" allowBlank="1" showInputMessage="1" showErrorMessage="1" xr:uid="{EA239050-383B-45C9-B8CB-077664064C82}">
          <x14:formula1>
            <xm:f>'Drop down list'!$K$1:$K$5</xm:f>
          </x14:formula1>
          <xm:sqref>G2:G65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40BB-3C7A-4A0D-9D1C-F5ECC4F25BE9}">
  <dimension ref="A1:K39"/>
  <sheetViews>
    <sheetView zoomScaleNormal="100" workbookViewId="0">
      <selection activeCell="E8" sqref="E8"/>
    </sheetView>
  </sheetViews>
  <sheetFormatPr defaultRowHeight="15"/>
  <cols>
    <col min="1" max="1" width="23.85546875" bestFit="1" customWidth="1"/>
    <col min="2" max="2" width="2.85546875" customWidth="1"/>
    <col min="3" max="3" width="18.28515625" bestFit="1" customWidth="1"/>
    <col min="4" max="4" width="1.5703125" customWidth="1"/>
    <col min="5" max="5" width="16.140625" bestFit="1" customWidth="1"/>
    <col min="6" max="6" width="1.5703125" customWidth="1"/>
    <col min="8" max="8" width="1.5703125" customWidth="1"/>
    <col min="10" max="10" width="1.140625" customWidth="1"/>
    <col min="11" max="11" width="19.140625" bestFit="1" customWidth="1"/>
  </cols>
  <sheetData>
    <row r="1" spans="1:11">
      <c r="A1" t="s">
        <v>199</v>
      </c>
      <c r="C1" t="s">
        <v>63</v>
      </c>
      <c r="E1" t="s">
        <v>204</v>
      </c>
      <c r="G1">
        <v>3</v>
      </c>
      <c r="I1">
        <v>7</v>
      </c>
      <c r="K1" t="s">
        <v>22</v>
      </c>
    </row>
    <row r="2" spans="1:11">
      <c r="A2" t="s">
        <v>181</v>
      </c>
      <c r="C2" t="s">
        <v>127</v>
      </c>
      <c r="E2" t="s">
        <v>33</v>
      </c>
      <c r="G2">
        <v>4</v>
      </c>
      <c r="I2">
        <v>7.5</v>
      </c>
      <c r="K2" t="s">
        <v>55</v>
      </c>
    </row>
    <row r="3" spans="1:11">
      <c r="A3" t="s">
        <v>51</v>
      </c>
      <c r="C3" t="s">
        <v>23</v>
      </c>
      <c r="E3" t="s">
        <v>135</v>
      </c>
      <c r="G3">
        <v>5</v>
      </c>
      <c r="I3">
        <v>9.5</v>
      </c>
      <c r="K3" t="s">
        <v>185</v>
      </c>
    </row>
    <row r="4" spans="1:11">
      <c r="A4" t="s">
        <v>27</v>
      </c>
      <c r="C4" t="s">
        <v>34</v>
      </c>
      <c r="E4" t="s">
        <v>155</v>
      </c>
      <c r="I4">
        <v>12.5</v>
      </c>
      <c r="K4" t="s">
        <v>46</v>
      </c>
    </row>
    <row r="5" spans="1:11">
      <c r="A5" t="s">
        <v>171</v>
      </c>
      <c r="C5" t="s">
        <v>90</v>
      </c>
      <c r="E5" t="s">
        <v>223</v>
      </c>
      <c r="K5" t="s">
        <v>79</v>
      </c>
    </row>
    <row r="6" spans="1:11">
      <c r="A6" t="s">
        <v>15</v>
      </c>
      <c r="C6" t="s">
        <v>205</v>
      </c>
      <c r="E6" t="s">
        <v>38</v>
      </c>
    </row>
    <row r="7" spans="1:11">
      <c r="A7" t="s">
        <v>89</v>
      </c>
      <c r="C7" t="s">
        <v>17</v>
      </c>
      <c r="E7" t="s">
        <v>16</v>
      </c>
    </row>
    <row r="8" spans="1:11">
      <c r="A8" t="s">
        <v>245</v>
      </c>
      <c r="C8" t="s">
        <v>39</v>
      </c>
      <c r="E8" t="s">
        <v>107</v>
      </c>
    </row>
    <row r="9" spans="1:11">
      <c r="A9" t="s">
        <v>94</v>
      </c>
      <c r="C9" t="s">
        <v>209</v>
      </c>
      <c r="E9" t="s">
        <v>47</v>
      </c>
    </row>
    <row r="10" spans="1:11">
      <c r="A10" t="s">
        <v>203</v>
      </c>
      <c r="E10" t="s">
        <v>28</v>
      </c>
    </row>
    <row r="11" spans="1:11">
      <c r="A11" t="s">
        <v>145</v>
      </c>
      <c r="E11" t="s">
        <v>56</v>
      </c>
    </row>
    <row r="12" spans="1:11">
      <c r="A12" t="s">
        <v>131</v>
      </c>
    </row>
    <row r="13" spans="1:11">
      <c r="A13" t="s">
        <v>120</v>
      </c>
    </row>
    <row r="14" spans="1:11">
      <c r="A14" t="s">
        <v>32</v>
      </c>
    </row>
    <row r="15" spans="1:11">
      <c r="A15" t="s">
        <v>189</v>
      </c>
    </row>
    <row r="16" spans="1:11">
      <c r="A16" t="s">
        <v>21</v>
      </c>
      <c r="F16" s="13">
        <f>SUM(Table1[[#This Row],[Contact No.]])</f>
        <v>6462583050</v>
      </c>
    </row>
    <row r="17" spans="1:6">
      <c r="A17" t="s">
        <v>219</v>
      </c>
      <c r="F17" s="13">
        <f>SUM(Table1[[#This Row],[Contact No.]])</f>
        <v>3472854442</v>
      </c>
    </row>
    <row r="18" spans="1:6">
      <c r="F18" s="13">
        <f>SUM(Table1[[#This Row],[Contact No.]])</f>
        <v>3473763111</v>
      </c>
    </row>
    <row r="19" spans="1:6">
      <c r="F19" s="13">
        <f>SUM(Table1[[#This Row],[Contact No.]])</f>
        <v>7188667730</v>
      </c>
    </row>
    <row r="20" spans="1:6">
      <c r="F20" s="13">
        <f>SUM(Table1[[#This Row],[Contact No.]])</f>
        <v>3475435617</v>
      </c>
    </row>
    <row r="21" spans="1:6">
      <c r="F21" s="13">
        <f>SUM(Table1[[#This Row],[Contact No.]])</f>
        <v>6466990300</v>
      </c>
    </row>
    <row r="22" spans="1:6">
      <c r="F22" s="13">
        <f>SUM(Table1[[#This Row],[Contact No.]])</f>
        <v>9148004520</v>
      </c>
    </row>
    <row r="23" spans="1:6">
      <c r="F23" s="13">
        <f>SUM(Table1[[#This Row],[Contact No.]])</f>
        <v>3474217180</v>
      </c>
    </row>
    <row r="24" spans="1:6">
      <c r="F24" s="13">
        <f>SUM(Table1[[#This Row],[Contact No.]])</f>
        <v>6178358845</v>
      </c>
    </row>
    <row r="25" spans="1:6">
      <c r="F25" s="13">
        <f>SUM(Table1[[#This Row],[Contact No.]])</f>
        <v>9177345609</v>
      </c>
    </row>
    <row r="26" spans="1:6">
      <c r="F26" s="13">
        <f>SUM(Table1[[#This Row],[Contact No.]])</f>
        <v>3478515530</v>
      </c>
    </row>
    <row r="27" spans="1:6">
      <c r="F27" s="13">
        <f>SUM(Table1[[#This Row],[Contact No.]])</f>
        <v>9175696505</v>
      </c>
    </row>
    <row r="28" spans="1:6">
      <c r="F28" s="13">
        <f>SUM(Table1[[#This Row],[Contact No.]])</f>
        <v>3477341565</v>
      </c>
    </row>
    <row r="29" spans="1:6">
      <c r="F29" s="13">
        <f>SUM(Table1[[#This Row],[Contact No.]])</f>
        <v>9179304322</v>
      </c>
    </row>
    <row r="30" spans="1:6">
      <c r="F30" s="13">
        <f>SUM(Table1[[#This Row],[Contact No.]])</f>
        <v>6462282933</v>
      </c>
    </row>
    <row r="31" spans="1:6">
      <c r="F31" s="13">
        <f>SUM(Table1[[#This Row],[Contact No.]])</f>
        <v>9174286599</v>
      </c>
    </row>
    <row r="32" spans="1:6">
      <c r="F32" s="13">
        <f>SUM(Table1[[#This Row],[Contact No.]])</f>
        <v>9146299368</v>
      </c>
    </row>
    <row r="33" spans="6:6">
      <c r="F33" s="13">
        <f>SUM(Table1[[#This Row],[Contact No.]])</f>
        <v>8456894281</v>
      </c>
    </row>
    <row r="34" spans="6:6">
      <c r="F34" s="13">
        <f>SUM(Table1[[#This Row],[Contact No.]])</f>
        <v>7187758704</v>
      </c>
    </row>
    <row r="35" spans="6:6">
      <c r="F35" s="13">
        <f>SUM(Table1[[#This Row],[Contact No.]])</f>
        <v>9175646157</v>
      </c>
    </row>
    <row r="36" spans="6:6">
      <c r="F36" s="13">
        <f>SUM(Table1[[#This Row],[Contact No.]])</f>
        <v>7186442648</v>
      </c>
    </row>
    <row r="37" spans="6:6">
      <c r="F37" s="13">
        <f>SUM(Table1[[#This Row],[Contact No.]])</f>
        <v>7187670336</v>
      </c>
    </row>
    <row r="38" spans="6:6">
      <c r="F38" s="13">
        <f>SUM(Table1[[#This Row],[Contact No.]])</f>
        <v>3474011974</v>
      </c>
    </row>
    <row r="39" spans="6:6">
      <c r="F39" s="13">
        <f>SUM(Table1[[#This Row],[Contact No.]])</f>
        <v>7189186380</v>
      </c>
    </row>
  </sheetData>
  <sortState xmlns:xlrd2="http://schemas.microsoft.com/office/spreadsheetml/2017/richdata2" ref="E1:E11">
    <sortCondition ref="E1:E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Jessie Diaz Gonzalez</dc:creator>
  <cp:keywords/>
  <dc:description/>
  <cp:lastModifiedBy/>
  <cp:revision/>
  <dcterms:created xsi:type="dcterms:W3CDTF">2026-02-24T15:41:24Z</dcterms:created>
  <dcterms:modified xsi:type="dcterms:W3CDTF">2026-07-02T16:47:26Z</dcterms:modified>
  <cp:category/>
  <cp:contentStatus/>
</cp:coreProperties>
</file>